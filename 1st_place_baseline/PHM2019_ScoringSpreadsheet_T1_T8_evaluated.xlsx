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49880" yWindow="7060" windowWidth="49880" windowHeight="28360" tabRatio="600" firstSheet="0" activeTab="0" autoFilterDateGrouping="1"/>
  </bookViews>
  <sheets>
    <sheet xmlns:r="http://schemas.openxmlformats.org/officeDocument/2006/relationships" name="Score sheet" sheetId="1" state="visible" r:id="rId1"/>
    <sheet xmlns:r="http://schemas.openxmlformats.org/officeDocument/2006/relationships" name="Calculations sheet" sheetId="2" state="hidden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sz val="14"/>
    </font>
    <font>
      <name val="Arial"/>
      <family val="2"/>
      <b val="1"/>
      <sz val="14"/>
    </font>
    <font>
      <name val="Arial"/>
      <family val="2"/>
      <b val="1"/>
      <sz val="18"/>
    </font>
    <font>
      <name val="Arial"/>
      <family val="2"/>
      <sz val="18"/>
    </font>
    <font>
      <name val="Calibri"/>
      <family val="2"/>
      <color theme="1"/>
      <sz val="14"/>
      <scheme val="minor"/>
    </font>
    <font>
      <name val="Calibri"/>
      <family val="2"/>
      <b val="1"/>
      <color theme="1"/>
      <sz val="14"/>
      <scheme val="minor"/>
    </font>
    <font>
      <name val="Arial"/>
      <family val="2"/>
      <b val="1"/>
      <color theme="0"/>
      <sz val="14"/>
    </font>
    <font>
      <name val="Arial"/>
      <family val="2"/>
      <color theme="0"/>
      <sz val="14"/>
    </font>
  </fonts>
  <fills count="5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98">
    <xf numFmtId="0" fontId="0" fillId="0" borderId="0" pivotButton="0" quotePrefix="0" xfId="0"/>
    <xf numFmtId="0" fontId="2" fillId="0" borderId="0" pivotButton="0" quotePrefix="0" xfId="1"/>
    <xf numFmtId="0" fontId="2" fillId="0" borderId="0" applyAlignment="1" pivotButton="0" quotePrefix="0" xfId="1">
      <alignment horizontal="center"/>
    </xf>
    <xf numFmtId="0" fontId="2" fillId="0" borderId="10" pivotButton="0" quotePrefix="0" xfId="1"/>
    <xf numFmtId="0" fontId="2" fillId="0" borderId="13" pivotButton="0" quotePrefix="0" xfId="1"/>
    <xf numFmtId="0" fontId="5" fillId="0" borderId="0" applyAlignment="1" pivotButton="0" quotePrefix="0" xfId="1">
      <alignment vertical="center"/>
    </xf>
    <xf numFmtId="0" fontId="3" fillId="2" borderId="5" applyAlignment="1" pivotButton="0" quotePrefix="0" xfId="1">
      <alignment horizontal="center" vertical="center" wrapText="1"/>
    </xf>
    <xf numFmtId="0" fontId="3" fillId="2" borderId="6" applyAlignment="1" pivotButton="0" quotePrefix="0" xfId="1">
      <alignment horizontal="center" vertical="center" wrapText="1"/>
    </xf>
    <xf numFmtId="0" fontId="3" fillId="2" borderId="5" applyAlignment="1" pivotButton="0" quotePrefix="0" xfId="0">
      <alignment horizontal="center" vertical="center" wrapText="1"/>
    </xf>
    <xf numFmtId="0" fontId="3" fillId="2" borderId="6" applyAlignment="1" pivotButton="0" quotePrefix="0" xfId="0">
      <alignment horizontal="center" vertical="center" wrapText="1"/>
    </xf>
    <xf numFmtId="0" fontId="2" fillId="2" borderId="5" applyAlignment="1" pivotButton="0" quotePrefix="0" xfId="1">
      <alignment horizontal="center" vertical="center" wrapText="1"/>
    </xf>
    <xf numFmtId="0" fontId="2" fillId="2" borderId="5" applyAlignment="1" pivotButton="0" quotePrefix="0" xfId="0">
      <alignment horizontal="center" vertical="center" wrapText="1"/>
    </xf>
    <xf numFmtId="0" fontId="4" fillId="2" borderId="5" applyAlignment="1" pivotButton="0" quotePrefix="0" xfId="1">
      <alignment horizontal="center" vertical="center" wrapText="1"/>
    </xf>
    <xf numFmtId="0" fontId="4" fillId="2" borderId="6" applyAlignment="1" pivotButton="0" quotePrefix="0" xfId="1">
      <alignment horizontal="center" vertical="center" wrapText="1"/>
    </xf>
    <xf numFmtId="0" fontId="3" fillId="2" borderId="5" applyAlignment="1" pivotButton="0" quotePrefix="0" xfId="1">
      <alignment horizontal="center" vertical="center"/>
    </xf>
    <xf numFmtId="0" fontId="2" fillId="2" borderId="6" applyAlignment="1" pivotButton="0" quotePrefix="0" xfId="1">
      <alignment horizontal="center" vertical="center"/>
    </xf>
    <xf numFmtId="0" fontId="6" fillId="0" borderId="0" pivotButton="0" quotePrefix="0" xfId="0"/>
    <xf numFmtId="0" fontId="6" fillId="0" borderId="0" applyAlignment="1" pivotButton="0" quotePrefix="0" xfId="0">
      <alignment horizontal="center"/>
    </xf>
    <xf numFmtId="0" fontId="3" fillId="0" borderId="15" pivotButton="0" quotePrefix="0" xfId="1"/>
    <xf numFmtId="0" fontId="2" fillId="0" borderId="11" pivotButton="0" quotePrefix="0" xfId="1"/>
    <xf numFmtId="0" fontId="2" fillId="0" borderId="14" pivotButton="0" quotePrefix="0" xfId="1"/>
    <xf numFmtId="0" fontId="2" fillId="2" borderId="7" applyAlignment="1" pivotButton="0" quotePrefix="0" xfId="0">
      <alignment horizontal="center" vertical="center" wrapText="1"/>
    </xf>
    <xf numFmtId="0" fontId="2" fillId="0" borderId="13" pivotButton="0" quotePrefix="0" xfId="1"/>
    <xf numFmtId="0" fontId="8" fillId="4" borderId="5" applyAlignment="1" pivotButton="0" quotePrefix="0" xfId="1">
      <alignment horizontal="center" vertical="center"/>
    </xf>
    <xf numFmtId="0" fontId="9" fillId="4" borderId="6" applyAlignment="1" pivotButton="0" quotePrefix="0" xfId="1">
      <alignment horizontal="center" vertical="center"/>
    </xf>
    <xf numFmtId="0" fontId="8" fillId="4" borderId="7" applyAlignment="1" pivotButton="0" quotePrefix="0" xfId="1">
      <alignment horizontal="center" vertical="center"/>
    </xf>
    <xf numFmtId="0" fontId="9" fillId="4" borderId="8" applyAlignment="1" pivotButton="0" quotePrefix="0" xfId="1">
      <alignment horizontal="center" vertical="center"/>
    </xf>
    <xf numFmtId="0" fontId="3" fillId="3" borderId="1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3" borderId="13" applyAlignment="1" pivotButton="0" quotePrefix="0" xfId="0">
      <alignment horizontal="center" vertical="center" wrapText="1"/>
    </xf>
    <xf numFmtId="0" fontId="2" fillId="3" borderId="10" applyAlignment="1" pivotButton="0" quotePrefix="0" xfId="0">
      <alignment horizontal="center" vertical="center" wrapText="1"/>
    </xf>
    <xf numFmtId="0" fontId="2" fillId="3" borderId="0" applyAlignment="1" pivotButton="0" quotePrefix="0" xfId="1">
      <alignment horizontal="center" vertical="center" wrapText="1"/>
    </xf>
    <xf numFmtId="0" fontId="2" fillId="3" borderId="13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3" borderId="10" pivotButton="0" quotePrefix="0" xfId="0"/>
    <xf numFmtId="0" fontId="2" fillId="3" borderId="0" pivotButton="0" quotePrefix="0" xfId="0"/>
    <xf numFmtId="0" fontId="2" fillId="3" borderId="13" pivotButton="0" quotePrefix="0" xfId="0"/>
    <xf numFmtId="0" fontId="2" fillId="3" borderId="11" pivotButton="0" quotePrefix="0" xfId="0"/>
    <xf numFmtId="0" fontId="2" fillId="3" borderId="12" pivotButton="0" quotePrefix="0" xfId="0"/>
    <xf numFmtId="0" fontId="2" fillId="3" borderId="14" pivotButton="0" quotePrefix="0" xfId="0"/>
    <xf numFmtId="0" fontId="2" fillId="3" borderId="11" applyAlignment="1" pivotButton="0" quotePrefix="0" xfId="0">
      <alignment horizontal="center" vertical="center" wrapText="1"/>
    </xf>
    <xf numFmtId="0" fontId="2" fillId="3" borderId="12" applyAlignment="1" pivotButton="0" quotePrefix="0" xfId="0">
      <alignment horizontal="center" vertical="center" wrapText="1"/>
    </xf>
    <xf numFmtId="0" fontId="2" fillId="3" borderId="14" applyAlignment="1" pivotButton="0" quotePrefix="0" xfId="0">
      <alignment horizontal="center" vertical="center" wrapText="1"/>
    </xf>
    <xf numFmtId="0" fontId="3" fillId="3" borderId="18" applyAlignment="1" pivotButton="0" quotePrefix="0" xfId="0">
      <alignment vertical="center"/>
    </xf>
    <xf numFmtId="0" fontId="3" fillId="3" borderId="19" applyAlignment="1" pivotButton="0" quotePrefix="0" xfId="0">
      <alignment vertical="center"/>
    </xf>
    <xf numFmtId="0" fontId="3" fillId="3" borderId="20" applyAlignment="1" pivotButton="0" quotePrefix="0" xfId="0">
      <alignment vertical="center"/>
    </xf>
    <xf numFmtId="0" fontId="6" fillId="3" borderId="0" applyAlignment="1" pivotButton="0" quotePrefix="0" xfId="0">
      <alignment horizontal="center"/>
    </xf>
    <xf numFmtId="0" fontId="6" fillId="3" borderId="0" applyAlignment="1" pivotButton="0" quotePrefix="0" xfId="0">
      <alignment vertical="center"/>
    </xf>
    <xf numFmtId="0" fontId="6" fillId="3" borderId="10" applyAlignment="1" pivotButton="0" quotePrefix="0" xfId="0">
      <alignment horizontal="center"/>
    </xf>
    <xf numFmtId="0" fontId="6" fillId="3" borderId="13" applyAlignment="1" pivotButton="0" quotePrefix="0" xfId="0">
      <alignment horizontal="center"/>
    </xf>
    <xf numFmtId="0" fontId="6" fillId="3" borderId="11" applyAlignment="1" pivotButton="0" quotePrefix="0" xfId="0">
      <alignment horizontal="center"/>
    </xf>
    <xf numFmtId="0" fontId="6" fillId="3" borderId="12" applyAlignment="1" pivotButton="0" quotePrefix="0" xfId="0">
      <alignment horizontal="center"/>
    </xf>
    <xf numFmtId="0" fontId="6" fillId="3" borderId="14" applyAlignment="1" pivotButton="0" quotePrefix="0" xfId="0">
      <alignment horizontal="center"/>
    </xf>
    <xf numFmtId="0" fontId="7" fillId="3" borderId="18" applyAlignment="1" pivotButton="0" quotePrefix="0" xfId="0">
      <alignment vertical="center"/>
    </xf>
    <xf numFmtId="0" fontId="7" fillId="3" borderId="19" applyAlignment="1" pivotButton="0" quotePrefix="0" xfId="0">
      <alignment vertical="center"/>
    </xf>
    <xf numFmtId="0" fontId="7" fillId="3" borderId="20" applyAlignment="1" pivotButton="0" quotePrefix="0" xfId="0">
      <alignment vertical="center"/>
    </xf>
    <xf numFmtId="0" fontId="6" fillId="3" borderId="10" pivotButton="0" quotePrefix="0" xfId="0"/>
    <xf numFmtId="0" fontId="6" fillId="3" borderId="0" pivotButton="0" quotePrefix="0" xfId="0"/>
    <xf numFmtId="0" fontId="6" fillId="3" borderId="13" pivotButton="0" quotePrefix="0" xfId="0"/>
    <xf numFmtId="0" fontId="6" fillId="3" borderId="11" pivotButton="0" quotePrefix="0" xfId="0"/>
    <xf numFmtId="0" fontId="6" fillId="3" borderId="12" pivotButton="0" quotePrefix="0" xfId="0"/>
    <xf numFmtId="0" fontId="6" fillId="3" borderId="14" pivotButton="0" quotePrefix="0" xfId="0"/>
    <xf numFmtId="0" fontId="2" fillId="0" borderId="16" applyAlignment="1" pivotButton="0" quotePrefix="0" xfId="1">
      <alignment horizontal="center" vertical="center"/>
    </xf>
    <xf numFmtId="0" fontId="2" fillId="0" borderId="17" applyAlignment="1" pivotButton="0" quotePrefix="0" xfId="0">
      <alignment horizontal="center" vertical="center" wrapText="1"/>
    </xf>
    <xf numFmtId="0" fontId="2" fillId="0" borderId="2" applyAlignment="1" applyProtection="1" pivotButton="0" quotePrefix="0" xfId="0">
      <alignment horizontal="center" vertical="center" wrapText="1"/>
      <protection locked="0" hidden="0"/>
    </xf>
    <xf numFmtId="0" fontId="2" fillId="0" borderId="1" applyAlignment="1" applyProtection="1" pivotButton="0" quotePrefix="0" xfId="0">
      <alignment horizontal="center" vertical="center" wrapText="1"/>
      <protection locked="0" hidden="0"/>
    </xf>
    <xf numFmtId="0" fontId="2" fillId="0" borderId="6" applyAlignment="1" applyProtection="1" pivotButton="0" quotePrefix="0" xfId="0">
      <alignment horizontal="center" vertical="center" wrapText="1"/>
      <protection locked="0" hidden="0"/>
    </xf>
    <xf numFmtId="0" fontId="2" fillId="0" borderId="13" applyAlignment="1" applyProtection="1" pivotButton="0" quotePrefix="0" xfId="0">
      <alignment horizontal="center" vertical="center" wrapText="1"/>
      <protection locked="0" hidden="0"/>
    </xf>
    <xf numFmtId="0" fontId="2" fillId="0" borderId="14" applyAlignment="1" applyProtection="1" pivotButton="0" quotePrefix="0" xfId="0">
      <alignment horizontal="center" vertical="center" wrapText="1"/>
      <protection locked="0" hidden="0"/>
    </xf>
    <xf numFmtId="0" fontId="4" fillId="2" borderId="3" applyAlignment="1" pivotButton="0" quotePrefix="0" xfId="1">
      <alignment horizontal="center" vertical="center"/>
    </xf>
    <xf numFmtId="0" fontId="4" fillId="2" borderId="4" applyAlignment="1" pivotButton="0" quotePrefix="0" xfId="1">
      <alignment horizontal="center" vertical="center"/>
    </xf>
    <xf numFmtId="0" fontId="4" fillId="2" borderId="15" applyAlignment="1" pivotButton="0" quotePrefix="0" xfId="1">
      <alignment horizontal="center" vertical="center"/>
    </xf>
    <xf numFmtId="0" fontId="4" fillId="2" borderId="16" applyAlignment="1" pivotButton="0" quotePrefix="0" xfId="1">
      <alignment horizontal="center" vertical="center"/>
    </xf>
    <xf numFmtId="0" fontId="4" fillId="2" borderId="17" applyAlignment="1" pivotButton="0" quotePrefix="0" xfId="1">
      <alignment horizontal="center" vertical="center"/>
    </xf>
    <xf numFmtId="0" fontId="7" fillId="3" borderId="18" applyAlignment="1" pivotButton="0" quotePrefix="0" xfId="0">
      <alignment horizontal="center" vertical="center"/>
    </xf>
    <xf numFmtId="0" fontId="7" fillId="3" borderId="19" applyAlignment="1" pivotButton="0" quotePrefix="0" xfId="0">
      <alignment horizontal="center" vertical="center"/>
    </xf>
    <xf numFmtId="0" fontId="7" fillId="3" borderId="20" applyAlignment="1" pivotButton="0" quotePrefix="0" xfId="0">
      <alignment horizontal="center" vertical="center"/>
    </xf>
    <xf numFmtId="0" fontId="7" fillId="3" borderId="15" applyAlignment="1" pivotButton="0" quotePrefix="0" xfId="0">
      <alignment horizontal="center"/>
    </xf>
    <xf numFmtId="0" fontId="7" fillId="3" borderId="16" applyAlignment="1" pivotButton="0" quotePrefix="0" xfId="0">
      <alignment horizontal="center"/>
    </xf>
    <xf numFmtId="0" fontId="7" fillId="3" borderId="17" applyAlignment="1" pivotButton="0" quotePrefix="0" xfId="0">
      <alignment horizontal="center"/>
    </xf>
    <xf numFmtId="0" fontId="3" fillId="3" borderId="18" applyAlignment="1" pivotButton="0" quotePrefix="0" xfId="0">
      <alignment horizontal="center" vertical="center"/>
    </xf>
    <xf numFmtId="0" fontId="3" fillId="3" borderId="19" applyAlignment="1" pivotButton="0" quotePrefix="0" xfId="0">
      <alignment horizontal="center" vertical="center"/>
    </xf>
    <xf numFmtId="0" fontId="3" fillId="3" borderId="20" applyAlignment="1" pivotButton="0" quotePrefix="0" xfId="0">
      <alignment horizontal="center" vertical="center"/>
    </xf>
    <xf numFmtId="0" fontId="3" fillId="3" borderId="3" applyAlignment="1" pivotButton="0" quotePrefix="0" xfId="0">
      <alignment horizontal="center" vertical="center"/>
    </xf>
    <xf numFmtId="0" fontId="3" fillId="3" borderId="9" applyAlignment="1" pivotButton="0" quotePrefix="0" xfId="0">
      <alignment horizontal="center" vertical="center"/>
    </xf>
    <xf numFmtId="0" fontId="3" fillId="3" borderId="4" applyAlignment="1" pivotButton="0" quotePrefix="0" xfId="0">
      <alignment horizontal="center" vertical="center"/>
    </xf>
    <xf numFmtId="0" fontId="4" fillId="2" borderId="21" applyAlignment="1" pivotButton="0" quotePrefix="0" xfId="1">
      <alignment horizontal="center" vertical="center"/>
    </xf>
    <xf numFmtId="0" fontId="0" fillId="0" borderId="4" pivotButton="0" quotePrefix="0" xfId="0"/>
    <xf numFmtId="0" fontId="4" fillId="2" borderId="22" applyAlignment="1" pivotButton="0" quotePrefix="0" xfId="1">
      <alignment horizontal="center" vertical="center"/>
    </xf>
    <xf numFmtId="0" fontId="0" fillId="0" borderId="16" pivotButton="0" quotePrefix="0" xfId="0"/>
    <xf numFmtId="0" fontId="0" fillId="0" borderId="17" pivotButton="0" quotePrefix="0" xfId="0"/>
    <xf numFmtId="0" fontId="3" fillId="3" borderId="23" applyAlignment="1" pivotButton="0" quotePrefix="0" xfId="0">
      <alignment horizontal="center" vertical="center"/>
    </xf>
    <xf numFmtId="0" fontId="0" fillId="0" borderId="19" pivotButton="0" quotePrefix="0" xfId="0"/>
    <xf numFmtId="0" fontId="0" fillId="0" borderId="20" pivotButton="0" quotePrefix="0" xfId="0"/>
    <xf numFmtId="0" fontId="3" fillId="3" borderId="21" applyAlignment="1" pivotButton="0" quotePrefix="0" xfId="0">
      <alignment horizontal="center" vertical="center"/>
    </xf>
    <xf numFmtId="0" fontId="0" fillId="0" borderId="9" pivotButton="0" quotePrefix="0" xfId="0"/>
    <xf numFmtId="0" fontId="7" fillId="3" borderId="23" applyAlignment="1" pivotButton="0" quotePrefix="0" xfId="0">
      <alignment horizontal="center" vertical="center"/>
    </xf>
    <xf numFmtId="0" fontId="7" fillId="3" borderId="22" applyAlignment="1" pivotButton="0" quotePrefix="0" xfId="0">
      <alignment horizontal="center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S35"/>
  <sheetViews>
    <sheetView tabSelected="1" workbookViewId="0">
      <selection activeCell="E13" sqref="E13"/>
    </sheetView>
  </sheetViews>
  <sheetFormatPr baseColWidth="10" defaultColWidth="8.83203125" defaultRowHeight="18"/>
  <cols>
    <col width="25.33203125" customWidth="1" style="1" min="1" max="1"/>
    <col width="28.33203125" bestFit="1" customWidth="1" style="1" min="2" max="2"/>
    <col width="24.6640625" customWidth="1" style="1" min="3" max="3"/>
    <col width="22.83203125" customWidth="1" style="1" min="4" max="4"/>
    <col width="26.5" customWidth="1" style="1" min="5" max="5"/>
    <col width="13" bestFit="1" customWidth="1" style="1" min="6" max="6"/>
    <col width="15.6640625" bestFit="1" customWidth="1" style="1" min="7" max="7"/>
    <col width="13" bestFit="1" customWidth="1" style="1" min="8" max="8"/>
    <col width="15.6640625" bestFit="1" customWidth="1" style="1" min="9" max="9"/>
    <col width="13" bestFit="1" customWidth="1" style="1" min="10" max="10"/>
    <col width="15.6640625" bestFit="1" customWidth="1" style="1" min="11" max="11"/>
    <col width="13" bestFit="1" customWidth="1" style="1" min="12" max="12"/>
    <col width="21.1640625" customWidth="1" style="1" min="13" max="13"/>
    <col width="18.5" bestFit="1" customWidth="1" style="1" min="14" max="14"/>
    <col width="15.6640625" bestFit="1" customWidth="1" style="1" min="15" max="15"/>
    <col width="8.83203125" customWidth="1" style="1" min="16" max="16384"/>
  </cols>
  <sheetData>
    <row r="1">
      <c r="A1" s="1" t="inlineStr">
        <is>
          <t>Plantilla oficial (m=10 corregido) rellenada con datos REALES de T1-T8 (PHMDC2019_Data). T1-T6: modelo SVR del notebook (Seccion 5, C=100, gamma=1.0), evaluacion en-muestra. T7-T8: pipeline completo del notebook (estimacion SVR + prediccion trans-fitting, Secciones 7.2/8.3).</t>
        </is>
      </c>
    </row>
    <row r="2">
      <c r="A2" s="1" t="inlineStr">
        <is>
          <t>The grey columns should not be modified</t>
        </is>
      </c>
    </row>
    <row r="3">
      <c r="A3" t="inlineStr">
        <is>
          <t>CORREGIDO: la formula original de penalizacion de monotonia usaba m=100. Los organizadores confirmaron que el valor correcto es m=10 (coincide con la Ec. 3 del paper). Ver data.phmsociety.org/2019datachallengesubmission/</t>
        </is>
      </c>
    </row>
    <row r="4" ht="19" customHeight="1" thickBot="1"/>
    <row r="5" ht="24" customHeight="1" thickBot="1">
      <c r="A5" s="86" t="inlineStr">
        <is>
          <t>SPECIMEN LOAD CONDITIONS</t>
        </is>
      </c>
      <c r="C5" s="5" t="n"/>
      <c r="D5" s="88" t="inlineStr">
        <is>
          <t>TRAINING SPECIMENS: CRACK GROWTH VS. NUMBER OF LOAD CYCLES</t>
        </is>
      </c>
    </row>
    <row r="6" ht="31" customHeight="1">
      <c r="A6" s="12" t="inlineStr">
        <is>
          <t>Specimen NO.</t>
        </is>
      </c>
      <c r="B6" s="13" t="inlineStr">
        <is>
          <t>Loading Spectrum</t>
        </is>
      </c>
      <c r="C6" s="5" t="n"/>
      <c r="D6" s="86" t="inlineStr">
        <is>
          <t>T1</t>
        </is>
      </c>
      <c r="F6" s="86" t="inlineStr">
        <is>
          <t>T2</t>
        </is>
      </c>
      <c r="H6" s="86" t="inlineStr">
        <is>
          <t>T3</t>
        </is>
      </c>
      <c r="J6" s="86" t="inlineStr">
        <is>
          <t>T4</t>
        </is>
      </c>
      <c r="L6" s="86" t="inlineStr">
        <is>
          <t>T5</t>
        </is>
      </c>
      <c r="N6" s="86" t="inlineStr">
        <is>
          <t>T6</t>
        </is>
      </c>
      <c r="P6" t="inlineStr">
        <is>
          <t>T7</t>
        </is>
      </c>
      <c r="R6" t="inlineStr">
        <is>
          <t>T8</t>
        </is>
      </c>
    </row>
    <row r="7" ht="38" customHeight="1">
      <c r="A7" s="14" t="inlineStr">
        <is>
          <t>T1</t>
        </is>
      </c>
      <c r="B7" s="15" t="inlineStr">
        <is>
          <t>Constant</t>
        </is>
      </c>
      <c r="D7" s="6" t="inlineStr">
        <is>
          <t>Number of cycle</t>
        </is>
      </c>
      <c r="E7" s="7" t="inlineStr">
        <is>
          <t>Crack length (mm) [ESTIMADO/PREDICHO por el modelo del notebook]</t>
        </is>
      </c>
      <c r="F7" s="8" t="inlineStr">
        <is>
          <t>Number of cycle</t>
        </is>
      </c>
      <c r="G7" s="9" t="inlineStr">
        <is>
          <t>Crack length (mm) [ESTIMADO/PREDICHO por el modelo del notebook]</t>
        </is>
      </c>
      <c r="H7" s="8" t="inlineStr">
        <is>
          <t>Number of cycle</t>
        </is>
      </c>
      <c r="I7" s="9" t="inlineStr">
        <is>
          <t>Crack length (mm) [ESTIMADO/PREDICHO por el modelo del notebook]</t>
        </is>
      </c>
      <c r="J7" s="8" t="inlineStr">
        <is>
          <t>Number of cycle</t>
        </is>
      </c>
      <c r="K7" s="9" t="inlineStr">
        <is>
          <t>Crack length (mm) [ESTIMADO/PREDICHO por el modelo del notebook]</t>
        </is>
      </c>
      <c r="L7" s="8" t="inlineStr">
        <is>
          <t>Number of cycle</t>
        </is>
      </c>
      <c r="M7" s="9" t="inlineStr">
        <is>
          <t>Crack length (mm) [ESTIMADO/PREDICHO por el modelo del notebook]</t>
        </is>
      </c>
      <c r="N7" s="8" t="inlineStr">
        <is>
          <t>Number of cycle</t>
        </is>
      </c>
      <c r="O7" s="9" t="inlineStr">
        <is>
          <t>Crack length (mm) [ESTIMADO/PREDICHO por el modelo del notebook]</t>
        </is>
      </c>
      <c r="P7" t="inlineStr">
        <is>
          <t>Number of cycle</t>
        </is>
      </c>
      <c r="Q7" t="inlineStr">
        <is>
          <t>Crack length (mm) [ESTIMADO/PREDICHO por el modelo del notebook]</t>
        </is>
      </c>
      <c r="R7" t="inlineStr">
        <is>
          <t>Number of cycle</t>
        </is>
      </c>
      <c r="S7" t="inlineStr">
        <is>
          <t>Crack length (mm) [ESTIMADO/PREDICHO por el modelo del notebook]</t>
        </is>
      </c>
    </row>
    <row r="8">
      <c r="A8" s="14" t="inlineStr">
        <is>
          <t>T2</t>
        </is>
      </c>
      <c r="B8" s="15" t="inlineStr">
        <is>
          <t>Constant</t>
        </is>
      </c>
      <c r="D8" s="10" t="n">
        <v>50000</v>
      </c>
      <c r="E8" s="64" t="n">
        <v>1.12191</v>
      </c>
      <c r="F8" s="11" t="n">
        <v>50000</v>
      </c>
      <c r="G8" s="66" t="n">
        <v>1.12191</v>
      </c>
      <c r="H8" s="11" t="n">
        <v>14000</v>
      </c>
      <c r="I8" s="66" t="n">
        <v>2.538145</v>
      </c>
      <c r="J8" s="11" t="n">
        <v>55900</v>
      </c>
      <c r="K8" s="66" t="n">
        <v>1.12191</v>
      </c>
      <c r="L8" s="11" t="n">
        <v>46000</v>
      </c>
      <c r="M8" s="66" t="n">
        <v>1.12191</v>
      </c>
      <c r="N8" s="11" t="n">
        <v>55000</v>
      </c>
      <c r="O8" s="67" t="n">
        <v>1.12191</v>
      </c>
      <c r="P8" t="n">
        <v>36001</v>
      </c>
      <c r="Q8" t="n">
        <v>3.4188</v>
      </c>
      <c r="R8" t="n">
        <v>40000</v>
      </c>
      <c r="S8" t="n">
        <v>3.138776</v>
      </c>
    </row>
    <row r="9" ht="15" customHeight="1">
      <c r="A9" s="14" t="inlineStr">
        <is>
          <t>T3</t>
        </is>
      </c>
      <c r="B9" s="15" t="inlineStr">
        <is>
          <t>Constant</t>
        </is>
      </c>
      <c r="D9" s="10" t="n">
        <v>60000</v>
      </c>
      <c r="E9" s="64" t="n">
        <v>3.35492</v>
      </c>
      <c r="F9" s="11" t="n">
        <v>70033</v>
      </c>
      <c r="G9" s="66" t="n">
        <v>3.149534</v>
      </c>
      <c r="H9" s="11" t="n">
        <v>50000</v>
      </c>
      <c r="I9" s="66" t="n">
        <v>1.12191</v>
      </c>
      <c r="J9" s="11" t="n">
        <v>60200</v>
      </c>
      <c r="K9" s="66" t="n">
        <v>1.710037</v>
      </c>
      <c r="L9" s="11" t="n">
        <v>51000</v>
      </c>
      <c r="M9" s="66" t="n">
        <v>1.147268</v>
      </c>
      <c r="N9" s="11" t="n">
        <v>60078</v>
      </c>
      <c r="O9" s="67" t="n">
        <v>0.719966</v>
      </c>
      <c r="P9" t="n">
        <v>40167</v>
      </c>
      <c r="Q9" t="n">
        <v>1.12191</v>
      </c>
      <c r="R9" t="n">
        <v>50000</v>
      </c>
      <c r="S9" t="n">
        <v>1.12191</v>
      </c>
    </row>
    <row r="10">
      <c r="A10" s="14" t="inlineStr">
        <is>
          <t>T4</t>
        </is>
      </c>
      <c r="B10" s="15" t="inlineStr">
        <is>
          <t>Constant</t>
        </is>
      </c>
      <c r="D10" s="10" t="n">
        <v>62500</v>
      </c>
      <c r="E10" s="64" t="n">
        <v>3.657622</v>
      </c>
      <c r="F10" s="11" t="n">
        <v>72000</v>
      </c>
      <c r="G10" s="66" t="n">
        <v>3.515351</v>
      </c>
      <c r="H10" s="11" t="n">
        <v>57038</v>
      </c>
      <c r="I10" s="66" t="n">
        <v>4.118462</v>
      </c>
      <c r="J10" s="11" t="n">
        <v>65001</v>
      </c>
      <c r="K10" s="66" t="n">
        <v>2.270487</v>
      </c>
      <c r="L10" s="11" t="n">
        <v>56000</v>
      </c>
      <c r="M10" s="66" t="n">
        <v>3.739785</v>
      </c>
      <c r="N10" s="11" t="n">
        <v>68091</v>
      </c>
      <c r="O10" s="67" t="n">
        <v>0.234989</v>
      </c>
      <c r="P10" t="n">
        <v>44054</v>
      </c>
      <c r="Q10" t="n">
        <v>2.696113</v>
      </c>
      <c r="R10" t="n">
        <v>70000</v>
      </c>
      <c r="S10" t="n">
        <v>1.558118</v>
      </c>
    </row>
    <row r="11">
      <c r="A11" s="14" t="inlineStr">
        <is>
          <t>T5</t>
        </is>
      </c>
      <c r="B11" s="15" t="inlineStr">
        <is>
          <t>Constant</t>
        </is>
      </c>
      <c r="D11" s="10" t="n">
        <v>65500</v>
      </c>
      <c r="E11" s="64" t="n">
        <v>3.388273</v>
      </c>
      <c r="F11" s="3" t="n"/>
      <c r="G11" s="22" t="n"/>
      <c r="H11" s="11" t="n">
        <v>60035</v>
      </c>
      <c r="I11" s="66" t="n">
        <v>4.041463</v>
      </c>
      <c r="J11" s="11" t="n">
        <v>67054</v>
      </c>
      <c r="K11" s="66" t="n">
        <v>1.574671</v>
      </c>
      <c r="L11" s="11" t="n"/>
      <c r="M11" s="66" t="n"/>
      <c r="N11" s="11" t="n">
        <v>69018</v>
      </c>
      <c r="O11" s="67" t="n">
        <v>2.787768</v>
      </c>
      <c r="P11" t="n">
        <v>47022</v>
      </c>
      <c r="Q11" t="n">
        <v>2.199418</v>
      </c>
      <c r="R11" t="n">
        <v>74883</v>
      </c>
      <c r="S11" t="n">
        <v>1.882384</v>
      </c>
    </row>
    <row r="12">
      <c r="A12" s="14" t="inlineStr">
        <is>
          <t>T6</t>
        </is>
      </c>
      <c r="B12" s="15" t="inlineStr">
        <is>
          <t>Constant</t>
        </is>
      </c>
      <c r="D12" s="10" t="n">
        <v>69025</v>
      </c>
      <c r="E12" s="64" t="n">
        <v>4.610248</v>
      </c>
      <c r="F12" s="3" t="n"/>
      <c r="G12" s="22" t="n"/>
      <c r="H12" s="11" t="n">
        <v>62017</v>
      </c>
      <c r="I12" s="66" t="n">
        <v>3.925173</v>
      </c>
      <c r="J12" s="11" t="n">
        <v>70016</v>
      </c>
      <c r="K12" s="66" t="n">
        <v>3.22984</v>
      </c>
      <c r="L12" s="3" t="n"/>
      <c r="M12" s="22" t="n"/>
      <c r="N12" s="11" t="n">
        <v>72516</v>
      </c>
      <c r="O12" s="67" t="n">
        <v>4.7505</v>
      </c>
      <c r="P12" t="n">
        <v>49026</v>
      </c>
      <c r="Q12" t="n">
        <v>2.861338</v>
      </c>
      <c r="R12" t="n">
        <v>76931</v>
      </c>
      <c r="S12" t="n">
        <v>2.888621</v>
      </c>
    </row>
    <row r="13">
      <c r="A13" s="23" t="inlineStr">
        <is>
          <t>T7</t>
        </is>
      </c>
      <c r="B13" s="24" t="inlineStr">
        <is>
          <t>Constant</t>
        </is>
      </c>
      <c r="D13" s="10" t="n">
        <v>70026</v>
      </c>
      <c r="E13" s="65" t="n">
        <v>4.335857</v>
      </c>
      <c r="F13" s="3" t="n"/>
      <c r="G13" s="22" t="n"/>
      <c r="H13" s="11" t="n">
        <v>64019</v>
      </c>
      <c r="I13" s="66" t="n">
        <v>2.917704</v>
      </c>
      <c r="J13" s="11" t="n">
        <v>71130</v>
      </c>
      <c r="K13" s="66" t="n">
        <v>4.159573</v>
      </c>
      <c r="L13" s="3" t="n"/>
      <c r="M13" s="22" t="n"/>
      <c r="N13" s="11" t="n">
        <v>73211</v>
      </c>
      <c r="O13" s="67" t="n">
        <v>5.005016</v>
      </c>
      <c r="P13" t="n">
        <v>51030</v>
      </c>
      <c r="Q13" t="n">
        <v>3.592704</v>
      </c>
      <c r="R13" t="n">
        <v>89237</v>
      </c>
      <c r="S13" t="n">
        <v>6.083083</v>
      </c>
    </row>
    <row r="14" ht="19" customHeight="1" thickBot="1">
      <c r="A14" s="25" t="inlineStr">
        <is>
          <t>T8</t>
        </is>
      </c>
      <c r="B14" s="26" t="inlineStr">
        <is>
          <t>Variable-amplitude</t>
        </is>
      </c>
      <c r="D14" s="10" t="n">
        <v>70766</v>
      </c>
      <c r="E14" s="65" t="n">
        <v>4.792734</v>
      </c>
      <c r="F14" s="3" t="n"/>
      <c r="G14" s="22" t="n"/>
      <c r="H14" s="11" t="n">
        <v>65029</v>
      </c>
      <c r="I14" s="66" t="n">
        <v>4.803361</v>
      </c>
      <c r="J14" s="11" t="n">
        <v>73210</v>
      </c>
      <c r="K14" s="66" t="n">
        <v>5.059971</v>
      </c>
      <c r="L14" s="3" t="n"/>
      <c r="M14" s="22" t="n"/>
      <c r="N14" s="11" t="n"/>
      <c r="O14" s="67" t="n"/>
      <c r="P14" t="n">
        <v>53019</v>
      </c>
      <c r="Q14" t="n">
        <v>4.715118</v>
      </c>
      <c r="R14" t="n">
        <v>92315</v>
      </c>
      <c r="S14" t="n">
        <v>7.739507</v>
      </c>
    </row>
    <row r="15">
      <c r="D15" s="3" t="n"/>
      <c r="E15" s="22" t="n"/>
      <c r="F15" s="3" t="n"/>
      <c r="G15" s="22" t="n"/>
      <c r="H15" s="11" t="n">
        <v>66012</v>
      </c>
      <c r="I15" s="66" t="n">
        <v>2.353731</v>
      </c>
      <c r="J15" s="11" t="n">
        <v>75045</v>
      </c>
      <c r="K15" s="66" t="n">
        <v>4.242833</v>
      </c>
      <c r="L15" s="3" t="n"/>
      <c r="M15" s="22" t="n"/>
      <c r="N15" s="11" t="n"/>
      <c r="O15" s="67" t="n"/>
      <c r="P15" t="n">
        <v>55031</v>
      </c>
      <c r="Q15" t="n">
        <v>7.03334</v>
      </c>
      <c r="R15" t="n">
        <v>96475</v>
      </c>
      <c r="S15" t="n">
        <v>11.660171</v>
      </c>
    </row>
    <row r="16">
      <c r="D16" s="3" t="n"/>
      <c r="E16" s="22" t="n"/>
      <c r="F16" s="3" t="n"/>
      <c r="G16" s="22" t="n"/>
      <c r="H16" s="11" t="n">
        <v>66510</v>
      </c>
      <c r="I16" s="66" t="n">
        <v>3.361902</v>
      </c>
      <c r="J16" s="3" t="n"/>
      <c r="K16" s="22" t="n"/>
      <c r="L16" s="3" t="n"/>
      <c r="M16" s="22" t="n"/>
      <c r="N16" s="11" t="n"/>
      <c r="O16" s="67" t="n"/>
      <c r="R16" t="n">
        <v>98492</v>
      </c>
      <c r="S16" t="n">
        <v>14.371807</v>
      </c>
    </row>
    <row r="17">
      <c r="D17" s="3" t="n"/>
      <c r="E17" s="22" t="n"/>
      <c r="F17" s="3" t="n"/>
      <c r="G17" s="22" t="n"/>
      <c r="H17" s="3" t="n"/>
      <c r="I17" s="22" t="n"/>
      <c r="J17" s="3" t="n"/>
      <c r="K17" s="22" t="n"/>
      <c r="L17" s="3" t="n"/>
      <c r="M17" s="22" t="n"/>
      <c r="N17" s="11" t="n"/>
      <c r="O17" s="67" t="n"/>
      <c r="R17" t="n">
        <v>100774</v>
      </c>
      <c r="S17" t="n">
        <v>18.575883</v>
      </c>
    </row>
    <row r="18" ht="19" customHeight="1" thickBot="1">
      <c r="D18" s="19" t="n"/>
      <c r="E18" s="20" t="n"/>
      <c r="F18" s="19" t="n"/>
      <c r="G18" s="20" t="n"/>
      <c r="H18" s="19" t="n"/>
      <c r="I18" s="20" t="n"/>
      <c r="J18" s="19" t="n"/>
      <c r="K18" s="20" t="n"/>
      <c r="L18" s="19" t="n"/>
      <c r="M18" s="20" t="n"/>
      <c r="N18" s="21" t="n"/>
      <c r="O18" s="68" t="n"/>
    </row>
    <row r="19" ht="19" customHeight="1" thickBot="1">
      <c r="D19" s="18" t="inlineStr">
        <is>
          <t>PENALTY SCORE (m=10)</t>
        </is>
      </c>
      <c r="E19" s="62">
        <f>'Calculations sheet'!C63</f>
        <v/>
      </c>
      <c r="F19" s="62" t="n"/>
      <c r="G19" s="62">
        <f>'Calculations sheet'!F63</f>
        <v/>
      </c>
      <c r="H19" s="62" t="n"/>
      <c r="I19" s="62">
        <f>'Calculations sheet'!I63</f>
        <v/>
      </c>
      <c r="J19" s="62" t="n"/>
      <c r="K19" s="62">
        <f>'Calculations sheet'!L63</f>
        <v/>
      </c>
      <c r="L19" s="62" t="n"/>
      <c r="M19" s="62">
        <f>'Calculations sheet'!O63</f>
        <v/>
      </c>
      <c r="N19" s="62" t="n"/>
      <c r="O19" s="63">
        <f>'Calculations sheet'!R63</f>
        <v/>
      </c>
      <c r="Q19">
        <f>'Calculations sheet'!U63</f>
        <v/>
      </c>
      <c r="S19">
        <f>'Calculations sheet'!X63</f>
        <v/>
      </c>
    </row>
    <row r="32" ht="22" customHeight="1"/>
    <row r="34">
      <c r="B34" s="2" t="n"/>
    </row>
    <row r="35">
      <c r="C35" s="2" t="n"/>
    </row>
  </sheetData>
  <sheetProtection selectLockedCells="1" selectUnlockedCells="0" algorithmName="SHA-512" sheet="1" objects="1" insertRows="1" insertHyperlinks="1" autoFilter="1" scenarios="1" formatColumns="1" deleteColumns="1" insertColumns="1" pivotTables="1" deleteRows="1" formatCells="1" saltValue="ArKjJ+fKTZU/uaaFxfjaaA==" formatRows="1" sort="1" spinCount="100000" hashValue="Eb+0hB/sCdfnrSm6pqX15+8YAjGU3SqdUaifDkFLSkHPl5G8tX6SlLlIZUwEwcF6E8tdsa5yvSj+GU+0Iu9C/w=="/>
  <pageMargins left="0.75" right="0.75" top="1" bottom="1" header="0.5" footer="0.5"/>
  <pageSetup orientation="portrait" paperSize="9" horizontalDpi="4294967292" verticalDpi="4294967292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X63"/>
  <sheetViews>
    <sheetView zoomScale="107" workbookViewId="0">
      <selection activeCell="D68" sqref="D68"/>
    </sheetView>
  </sheetViews>
  <sheetFormatPr baseColWidth="10" defaultRowHeight="19"/>
  <cols>
    <col width="10.83203125" customWidth="1" style="16" min="1" max="2"/>
    <col width="23" customWidth="1" style="16" min="3" max="3"/>
    <col width="10.83203125" customWidth="1" style="16" min="4" max="5"/>
    <col width="21.5" customWidth="1" style="16" min="6" max="6"/>
    <col width="24.5" customWidth="1" style="16" min="7" max="7"/>
    <col width="25.83203125" customWidth="1" style="16" min="8" max="8"/>
    <col width="18.83203125" customWidth="1" style="16" min="9" max="9"/>
    <col width="29" customWidth="1" style="16" min="10" max="10"/>
    <col width="18.6640625" customWidth="1" style="16" min="11" max="11"/>
    <col width="22" customWidth="1" style="16" min="12" max="12"/>
    <col width="23.83203125" customWidth="1" style="16" min="13" max="13"/>
    <col width="16.83203125" customWidth="1" style="16" min="14" max="14"/>
    <col width="21" customWidth="1" style="16" min="15" max="15"/>
    <col width="24" customWidth="1" style="16" min="16" max="16"/>
    <col width="19.83203125" customWidth="1" style="16" min="17" max="17"/>
    <col width="29" customWidth="1" style="16" min="18" max="18"/>
    <col width="10.83203125" customWidth="1" style="16" min="19" max="16384"/>
  </cols>
  <sheetData>
    <row r="1" ht="20" customHeight="1" thickBot="1">
      <c r="A1" s="91" t="inlineStr">
        <is>
          <t>NORMALIZED CRACK LENGTH</t>
        </is>
      </c>
    </row>
    <row r="2">
      <c r="A2" s="94" t="inlineStr">
        <is>
          <t>T1</t>
        </is>
      </c>
      <c r="D2" s="94" t="inlineStr">
        <is>
          <t>T2</t>
        </is>
      </c>
      <c r="G2" s="94" t="inlineStr">
        <is>
          <t>T3</t>
        </is>
      </c>
      <c r="J2" s="94" t="inlineStr">
        <is>
          <t>T4</t>
        </is>
      </c>
      <c r="M2" s="94" t="inlineStr">
        <is>
          <t>T5</t>
        </is>
      </c>
      <c r="P2" s="94" t="inlineStr">
        <is>
          <t>T6</t>
        </is>
      </c>
      <c r="S2" t="inlineStr">
        <is>
          <t>T7</t>
        </is>
      </c>
      <c r="V2" t="inlineStr">
        <is>
          <t>T8</t>
        </is>
      </c>
    </row>
    <row r="3" ht="57" customHeight="1">
      <c r="A3" s="27" t="inlineStr">
        <is>
          <t>Number of cycle</t>
        </is>
      </c>
      <c r="B3" s="28" t="inlineStr">
        <is>
          <t>crack length (mm)</t>
        </is>
      </c>
      <c r="C3" s="29" t="inlineStr">
        <is>
          <t>normalized crack length (-)</t>
        </is>
      </c>
      <c r="D3" s="27" t="inlineStr">
        <is>
          <t>Number of cycle</t>
        </is>
      </c>
      <c r="E3" s="28" t="inlineStr">
        <is>
          <t>crack length (mm)</t>
        </is>
      </c>
      <c r="F3" s="29" t="inlineStr">
        <is>
          <t>normalized crack length (-)</t>
        </is>
      </c>
      <c r="G3" s="27" t="inlineStr">
        <is>
          <t>Number of cycle</t>
        </is>
      </c>
      <c r="H3" s="28" t="inlineStr">
        <is>
          <t>crack length (mm)</t>
        </is>
      </c>
      <c r="I3" s="29" t="inlineStr">
        <is>
          <t>normalized crack length (-)</t>
        </is>
      </c>
      <c r="J3" s="27" t="inlineStr">
        <is>
          <t>Number of cycle</t>
        </is>
      </c>
      <c r="K3" s="28" t="inlineStr">
        <is>
          <t>crack length (mm)</t>
        </is>
      </c>
      <c r="L3" s="29" t="inlineStr">
        <is>
          <t>normalized crack length (-)</t>
        </is>
      </c>
      <c r="M3" s="27" t="inlineStr">
        <is>
          <t>Number of cycle</t>
        </is>
      </c>
      <c r="N3" s="28" t="inlineStr">
        <is>
          <t>crack length (mm)</t>
        </is>
      </c>
      <c r="O3" s="29" t="inlineStr">
        <is>
          <t>normalized crack length (-)</t>
        </is>
      </c>
      <c r="P3" s="27" t="inlineStr">
        <is>
          <t>Number of cycle</t>
        </is>
      </c>
      <c r="Q3" s="28" t="inlineStr">
        <is>
          <t>crack length (mm)</t>
        </is>
      </c>
      <c r="R3" s="29" t="inlineStr">
        <is>
          <t>normalized crack length (-)</t>
        </is>
      </c>
      <c r="S3" t="inlineStr">
        <is>
          <t>Number of cycle</t>
        </is>
      </c>
      <c r="T3" t="inlineStr">
        <is>
          <t>crack length (mm)</t>
        </is>
      </c>
      <c r="U3" t="inlineStr">
        <is>
          <t>normalized crack length (-)</t>
        </is>
      </c>
      <c r="V3" t="inlineStr">
        <is>
          <t>Number of cycle</t>
        </is>
      </c>
      <c r="W3" t="inlineStr">
        <is>
          <t>crack length (mm)</t>
        </is>
      </c>
      <c r="X3" t="inlineStr">
        <is>
          <t>normalized crack length (-)</t>
        </is>
      </c>
    </row>
    <row r="4">
      <c r="A4" s="30" t="n">
        <v>50000</v>
      </c>
      <c r="B4" s="31" t="n">
        <v>0</v>
      </c>
      <c r="C4" s="32">
        <f>B4/$B$10</f>
        <v/>
      </c>
      <c r="D4" s="30" t="n">
        <v>50000</v>
      </c>
      <c r="E4" s="33" t="n">
        <v>0</v>
      </c>
      <c r="F4" s="32">
        <f>E4/$E$6</f>
        <v/>
      </c>
      <c r="G4" s="30" t="n">
        <v>14000</v>
      </c>
      <c r="H4" s="33" t="n">
        <v>0</v>
      </c>
      <c r="I4" s="32">
        <f>H4/$H$12</f>
        <v/>
      </c>
      <c r="J4" s="30" t="n">
        <v>55900</v>
      </c>
      <c r="K4" s="33" t="n">
        <v>0</v>
      </c>
      <c r="L4" s="32">
        <f>K4/$K$11</f>
        <v/>
      </c>
      <c r="M4" s="30" t="n">
        <v>46000</v>
      </c>
      <c r="N4" s="33" t="n">
        <v>0</v>
      </c>
      <c r="O4" s="32">
        <f>N4/$N$6</f>
        <v/>
      </c>
      <c r="P4" s="30" t="n">
        <v>55000</v>
      </c>
      <c r="Q4" s="33" t="n">
        <v>0</v>
      </c>
      <c r="R4" s="32">
        <f>Q4/$Q$9</f>
        <v/>
      </c>
      <c r="S4" t="n">
        <v>36001</v>
      </c>
      <c r="T4" t="n">
        <v>0</v>
      </c>
      <c r="U4">
        <f>T4/$T$11</f>
        <v/>
      </c>
      <c r="V4" t="n">
        <v>40000</v>
      </c>
      <c r="W4" t="n">
        <v>0</v>
      </c>
      <c r="X4">
        <f>W4/$W$13</f>
        <v/>
      </c>
    </row>
    <row r="5">
      <c r="A5" s="30" t="n">
        <v>60000</v>
      </c>
      <c r="B5" s="31" t="n">
        <v>2.18</v>
      </c>
      <c r="C5" s="32">
        <f>B5/$B$10</f>
        <v/>
      </c>
      <c r="D5" s="30" t="n">
        <v>70033</v>
      </c>
      <c r="E5" s="33" t="n">
        <v>3.25</v>
      </c>
      <c r="F5" s="32">
        <f>E5/$E$6</f>
        <v/>
      </c>
      <c r="G5" s="30" t="n">
        <v>50000</v>
      </c>
      <c r="H5" s="33" t="n">
        <v>0</v>
      </c>
      <c r="I5" s="32">
        <f>H5/$H$12</f>
        <v/>
      </c>
      <c r="J5" s="30" t="n">
        <v>60200</v>
      </c>
      <c r="K5" s="33" t="n">
        <v>1.61</v>
      </c>
      <c r="L5" s="32">
        <f>K5/$K$11</f>
        <v/>
      </c>
      <c r="M5" s="30" t="n">
        <v>51000</v>
      </c>
      <c r="N5" s="33" t="n">
        <v>2.7</v>
      </c>
      <c r="O5" s="32">
        <f>N5/$N$6</f>
        <v/>
      </c>
      <c r="P5" s="30" t="n">
        <v>60078</v>
      </c>
      <c r="Q5" s="33" t="n">
        <v>0.82</v>
      </c>
      <c r="R5" s="32">
        <f>Q5/$Q$9</f>
        <v/>
      </c>
      <c r="S5" t="n">
        <v>40167</v>
      </c>
      <c r="T5" t="n">
        <v>0</v>
      </c>
      <c r="U5">
        <f>T5/$T$11</f>
        <v/>
      </c>
      <c r="V5" t="n">
        <v>50000</v>
      </c>
      <c r="W5" t="n">
        <v>0</v>
      </c>
      <c r="X5">
        <f>W5/$W$13</f>
        <v/>
      </c>
    </row>
    <row r="6">
      <c r="A6" s="30" t="n">
        <v>62500</v>
      </c>
      <c r="B6" s="31" t="n">
        <v>2.76</v>
      </c>
      <c r="C6" s="32">
        <f>B6/$B$10</f>
        <v/>
      </c>
      <c r="D6" s="30" t="n">
        <v>72000</v>
      </c>
      <c r="E6" s="33" t="n">
        <v>4.95</v>
      </c>
      <c r="F6" s="32">
        <f>E6/$E$6</f>
        <v/>
      </c>
      <c r="G6" s="30" t="n">
        <v>57038</v>
      </c>
      <c r="H6" s="33" t="n">
        <v>2.57</v>
      </c>
      <c r="I6" s="32">
        <f>H6/$H$12</f>
        <v/>
      </c>
      <c r="J6" s="30" t="n">
        <v>65001</v>
      </c>
      <c r="K6" s="33" t="n">
        <v>2.17</v>
      </c>
      <c r="L6" s="32">
        <f>K6/$K$11</f>
        <v/>
      </c>
      <c r="M6" s="30" t="n">
        <v>56000</v>
      </c>
      <c r="N6" s="33" t="n">
        <v>3.64</v>
      </c>
      <c r="O6" s="32">
        <f>N6/$N$6</f>
        <v/>
      </c>
      <c r="P6" s="30" t="n">
        <v>68091</v>
      </c>
      <c r="Q6" s="33" t="n">
        <v>2.36</v>
      </c>
      <c r="R6" s="32">
        <f>Q6/$Q$9</f>
        <v/>
      </c>
      <c r="S6" t="n">
        <v>44054</v>
      </c>
      <c r="T6" t="n">
        <v>2.07</v>
      </c>
      <c r="U6">
        <f>T6/$T$11</f>
        <v/>
      </c>
      <c r="V6" t="n">
        <v>70000</v>
      </c>
      <c r="W6" t="n">
        <v>0</v>
      </c>
      <c r="X6">
        <f>W6/$W$13</f>
        <v/>
      </c>
    </row>
    <row r="7">
      <c r="A7" s="30" t="n">
        <v>65500</v>
      </c>
      <c r="B7" s="31" t="n">
        <v>3.51</v>
      </c>
      <c r="C7" s="32">
        <f>B7/$B$10</f>
        <v/>
      </c>
      <c r="D7" s="34" t="n"/>
      <c r="E7" s="35" t="n"/>
      <c r="F7" s="36" t="n"/>
      <c r="G7" s="30" t="n">
        <v>60035</v>
      </c>
      <c r="H7" s="33" t="n">
        <v>4.02</v>
      </c>
      <c r="I7" s="32">
        <f>H7/$H$12</f>
        <v/>
      </c>
      <c r="J7" s="30" t="n">
        <v>67054</v>
      </c>
      <c r="K7" s="33" t="n">
        <v>2.74</v>
      </c>
      <c r="L7" s="32">
        <f>K7/$K$11</f>
        <v/>
      </c>
      <c r="M7" s="30" t="n"/>
      <c r="N7" s="33" t="n"/>
      <c r="O7" s="32" t="n"/>
      <c r="P7" s="30" t="n">
        <v>69018</v>
      </c>
      <c r="Q7" s="33" t="n">
        <v>3.36</v>
      </c>
      <c r="R7" s="32">
        <f>Q7/$Q$9</f>
        <v/>
      </c>
      <c r="S7" t="n">
        <v>47022</v>
      </c>
      <c r="T7" t="n">
        <v>3.14</v>
      </c>
      <c r="U7">
        <f>T7/$T$11</f>
        <v/>
      </c>
      <c r="V7" t="n">
        <v>74883</v>
      </c>
      <c r="W7" t="n">
        <v>1.94</v>
      </c>
      <c r="X7">
        <f>W7/$W$13</f>
        <v/>
      </c>
    </row>
    <row r="8">
      <c r="A8" s="30" t="n">
        <v>69025</v>
      </c>
      <c r="B8" s="31" t="n">
        <v>4.51</v>
      </c>
      <c r="C8" s="32">
        <f>B8/$B$10</f>
        <v/>
      </c>
      <c r="D8" s="34" t="n"/>
      <c r="E8" s="35" t="n"/>
      <c r="F8" s="36" t="n"/>
      <c r="G8" s="30" t="n">
        <v>62017</v>
      </c>
      <c r="H8" s="33" t="n">
        <v>4.72</v>
      </c>
      <c r="I8" s="32">
        <f>H8/$H$12</f>
        <v/>
      </c>
      <c r="J8" s="30" t="n">
        <v>70016</v>
      </c>
      <c r="K8" s="33" t="n">
        <v>3.13</v>
      </c>
      <c r="L8" s="32">
        <f>K8/$K$11</f>
        <v/>
      </c>
      <c r="M8" s="34" t="n"/>
      <c r="N8" s="35" t="n"/>
      <c r="O8" s="36" t="n"/>
      <c r="P8" s="30" t="n">
        <v>72516</v>
      </c>
      <c r="Q8" s="33" t="n">
        <v>4.65</v>
      </c>
      <c r="R8" s="32">
        <f>Q8/$Q$9</f>
        <v/>
      </c>
      <c r="S8" t="n">
        <v>49026</v>
      </c>
      <c r="T8" t="n">
        <v>3.56</v>
      </c>
      <c r="U8">
        <f>T8/$T$11</f>
        <v/>
      </c>
      <c r="V8" t="n">
        <v>76931</v>
      </c>
      <c r="W8" t="n">
        <v>2.5</v>
      </c>
      <c r="X8">
        <f>W8/$W$13</f>
        <v/>
      </c>
    </row>
    <row r="9">
      <c r="A9" s="30" t="n">
        <v>70026</v>
      </c>
      <c r="B9" s="31" t="n">
        <v>4.9</v>
      </c>
      <c r="C9" s="32">
        <f>B9/$B$10</f>
        <v/>
      </c>
      <c r="D9" s="34" t="n"/>
      <c r="E9" s="35" t="n"/>
      <c r="F9" s="36" t="n"/>
      <c r="G9" s="30" t="n">
        <v>64019</v>
      </c>
      <c r="H9" s="33" t="n">
        <v>5.49</v>
      </c>
      <c r="I9" s="32">
        <f>H9/$H$12</f>
        <v/>
      </c>
      <c r="J9" s="30" t="n">
        <v>71130</v>
      </c>
      <c r="K9" s="33" t="n">
        <v>4.06</v>
      </c>
      <c r="L9" s="32">
        <f>K9/$K$11</f>
        <v/>
      </c>
      <c r="M9" s="34" t="n"/>
      <c r="N9" s="35" t="n"/>
      <c r="O9" s="36" t="n"/>
      <c r="P9" s="30" t="n">
        <v>73211</v>
      </c>
      <c r="Q9" s="33" t="n">
        <v>5.08</v>
      </c>
      <c r="R9" s="32">
        <f>Q9/$Q$9</f>
        <v/>
      </c>
      <c r="S9" t="n">
        <v>51030</v>
      </c>
      <c r="T9" t="n">
        <v>4.13</v>
      </c>
      <c r="U9">
        <f>T9/$T$11</f>
        <v/>
      </c>
      <c r="V9" t="n">
        <v>89237</v>
      </c>
      <c r="W9" t="n">
        <v>3.71</v>
      </c>
      <c r="X9">
        <f>W9/$W$13</f>
        <v/>
      </c>
    </row>
    <row r="10">
      <c r="A10" s="30" t="n">
        <v>70766</v>
      </c>
      <c r="B10" s="31" t="n">
        <v>7.46</v>
      </c>
      <c r="C10" s="32">
        <f>B10/$B$10</f>
        <v/>
      </c>
      <c r="D10" s="34" t="n"/>
      <c r="E10" s="35" t="n"/>
      <c r="F10" s="36" t="n"/>
      <c r="G10" s="30" t="n">
        <v>65029</v>
      </c>
      <c r="H10" s="33" t="n">
        <v>5.9</v>
      </c>
      <c r="I10" s="32">
        <f>H10/$H$12</f>
        <v/>
      </c>
      <c r="J10" s="30" t="n">
        <v>73210</v>
      </c>
      <c r="K10" s="33" t="n">
        <v>4.96</v>
      </c>
      <c r="L10" s="32">
        <f>K10/$K$11</f>
        <v/>
      </c>
      <c r="M10" s="34" t="n"/>
      <c r="N10" s="35" t="n"/>
      <c r="O10" s="36" t="n"/>
      <c r="P10" s="30" t="n"/>
      <c r="Q10" s="33" t="n"/>
      <c r="R10" s="32" t="n"/>
      <c r="S10" t="n">
        <v>53019</v>
      </c>
      <c r="T10" t="n">
        <v>5.05</v>
      </c>
      <c r="U10">
        <f>T10/$T$11</f>
        <v/>
      </c>
      <c r="V10" t="n">
        <v>92315</v>
      </c>
      <c r="W10" t="n">
        <v>3.88</v>
      </c>
      <c r="X10">
        <f>W10/$W$13</f>
        <v/>
      </c>
    </row>
    <row r="11">
      <c r="A11" s="34" t="n"/>
      <c r="B11" s="35" t="n"/>
      <c r="C11" s="36" t="n"/>
      <c r="D11" s="34" t="n"/>
      <c r="E11" s="35" t="n"/>
      <c r="F11" s="36" t="n"/>
      <c r="G11" s="30" t="n">
        <v>66012</v>
      </c>
      <c r="H11" s="33" t="n">
        <v>6.52</v>
      </c>
      <c r="I11" s="32">
        <f>H11/$H$12</f>
        <v/>
      </c>
      <c r="J11" s="30" t="n">
        <v>75045</v>
      </c>
      <c r="K11" s="33" t="n">
        <v>7.24</v>
      </c>
      <c r="L11" s="32">
        <f>K11/$K$11</f>
        <v/>
      </c>
      <c r="M11" s="34" t="n"/>
      <c r="N11" s="35" t="n"/>
      <c r="O11" s="36" t="n"/>
      <c r="P11" s="30" t="n"/>
      <c r="Q11" s="33" t="n"/>
      <c r="R11" s="32" t="n"/>
      <c r="S11" t="n">
        <v>55031</v>
      </c>
      <c r="T11" t="n">
        <v>7.22</v>
      </c>
      <c r="U11">
        <f>T11/$T$11</f>
        <v/>
      </c>
      <c r="V11" t="n">
        <v>96475</v>
      </c>
      <c r="W11" t="n">
        <v>4.61</v>
      </c>
      <c r="X11">
        <f>W11/$W$13</f>
        <v/>
      </c>
    </row>
    <row r="12">
      <c r="A12" s="34" t="n"/>
      <c r="B12" s="35" t="n"/>
      <c r="C12" s="36" t="n"/>
      <c r="D12" s="34" t="n"/>
      <c r="E12" s="35" t="n"/>
      <c r="F12" s="36" t="n"/>
      <c r="G12" s="30" t="n">
        <v>66510</v>
      </c>
      <c r="H12" s="33" t="n">
        <v>6.93</v>
      </c>
      <c r="I12" s="32">
        <f>H12/$H$12</f>
        <v/>
      </c>
      <c r="J12" s="34" t="n"/>
      <c r="K12" s="35" t="n"/>
      <c r="L12" s="36" t="n"/>
      <c r="M12" s="34" t="n"/>
      <c r="N12" s="35" t="n"/>
      <c r="O12" s="36" t="n"/>
      <c r="P12" s="30" t="n"/>
      <c r="Q12" s="33" t="n"/>
      <c r="R12" s="32" t="n"/>
      <c r="V12" t="n">
        <v>98492</v>
      </c>
      <c r="W12" t="n">
        <v>4.96</v>
      </c>
      <c r="X12">
        <f>W12/$W$13</f>
        <v/>
      </c>
    </row>
    <row r="13">
      <c r="A13" s="34" t="n"/>
      <c r="B13" s="35" t="n"/>
      <c r="C13" s="36" t="n"/>
      <c r="D13" s="34" t="n"/>
      <c r="E13" s="35" t="n"/>
      <c r="F13" s="36" t="n"/>
      <c r="G13" s="34" t="n"/>
      <c r="H13" s="35" t="n"/>
      <c r="I13" s="36" t="n"/>
      <c r="J13" s="34" t="n"/>
      <c r="K13" s="35" t="n"/>
      <c r="L13" s="36" t="n"/>
      <c r="M13" s="34" t="n"/>
      <c r="N13" s="35" t="n"/>
      <c r="O13" s="36" t="n"/>
      <c r="P13" s="30" t="n"/>
      <c r="Q13" s="33" t="n"/>
      <c r="R13" s="32" t="n"/>
      <c r="V13" t="n">
        <v>100774</v>
      </c>
      <c r="W13" t="n">
        <v>5.52</v>
      </c>
      <c r="X13">
        <f>W13/$W$13</f>
        <v/>
      </c>
    </row>
    <row r="14" ht="20" customHeight="1" thickBot="1">
      <c r="A14" s="37" t="n"/>
      <c r="B14" s="38" t="n"/>
      <c r="C14" s="39" t="n"/>
      <c r="D14" s="37" t="n"/>
      <c r="E14" s="38" t="n"/>
      <c r="F14" s="39" t="n"/>
      <c r="G14" s="37" t="n"/>
      <c r="H14" s="38" t="n"/>
      <c r="I14" s="39" t="n"/>
      <c r="J14" s="37" t="n"/>
      <c r="K14" s="38" t="n"/>
      <c r="L14" s="39" t="n"/>
      <c r="M14" s="37" t="n"/>
      <c r="N14" s="38" t="n"/>
      <c r="O14" s="39" t="n"/>
      <c r="P14" s="40" t="n"/>
      <c r="Q14" s="41" t="n"/>
      <c r="R14" s="42" t="n"/>
    </row>
    <row r="15" hidden="1">
      <c r="A15" s="43" t="n"/>
      <c r="B15" s="44" t="n"/>
      <c r="C15" s="45" t="n"/>
      <c r="D15" s="43" t="n"/>
      <c r="E15" s="44" t="n"/>
      <c r="F15" s="45" t="n"/>
      <c r="G15" s="43" t="n"/>
      <c r="H15" s="44" t="n"/>
      <c r="I15" s="45" t="n"/>
      <c r="J15" s="43" t="n"/>
      <c r="K15" s="44" t="n"/>
      <c r="L15" s="45" t="n"/>
      <c r="M15" s="43" t="n"/>
      <c r="N15" s="44" t="n"/>
      <c r="O15" s="45" t="n"/>
      <c r="P15" s="43" t="n"/>
      <c r="Q15" s="44" t="n"/>
      <c r="R15" s="45" t="n"/>
    </row>
    <row r="16" hidden="1" customFormat="1" s="17">
      <c r="A16" s="46" t="n"/>
      <c r="B16" s="47" t="n"/>
      <c r="C16" s="47">
        <f>2+10*C4</f>
        <v/>
      </c>
      <c r="D16" s="48" t="n"/>
      <c r="E16" s="46" t="n"/>
      <c r="F16" s="49">
        <f>2+10*F4</f>
        <v/>
      </c>
      <c r="G16" s="48" t="n"/>
      <c r="H16" s="46" t="n"/>
      <c r="I16" s="49">
        <f>2+10*I4</f>
        <v/>
      </c>
      <c r="J16" s="48" t="n"/>
      <c r="K16" s="46" t="n"/>
      <c r="L16" s="49">
        <f>2+10*L4</f>
        <v/>
      </c>
      <c r="M16" s="48" t="n"/>
      <c r="N16" s="46" t="n"/>
      <c r="O16" s="49">
        <f>2+10*O4</f>
        <v/>
      </c>
      <c r="P16" s="48" t="n"/>
      <c r="Q16" s="46" t="n"/>
      <c r="R16" s="49">
        <f>2+10*R4</f>
        <v/>
      </c>
      <c r="U16">
        <f>2+10*U4</f>
        <v/>
      </c>
      <c r="X16">
        <f>2+10*X4</f>
        <v/>
      </c>
    </row>
    <row r="17" hidden="1" customFormat="1" s="17">
      <c r="A17" s="46" t="n"/>
      <c r="B17" s="47" t="n"/>
      <c r="C17" s="47">
        <f>2+10*C5</f>
        <v/>
      </c>
      <c r="D17" s="48" t="n"/>
      <c r="E17" s="46" t="n"/>
      <c r="F17" s="49">
        <f>2+10*F5</f>
        <v/>
      </c>
      <c r="G17" s="48" t="n"/>
      <c r="H17" s="46" t="n"/>
      <c r="I17" s="49">
        <f>2+10*I5</f>
        <v/>
      </c>
      <c r="J17" s="48" t="n"/>
      <c r="K17" s="46" t="n"/>
      <c r="L17" s="49">
        <f>2+10*L5</f>
        <v/>
      </c>
      <c r="M17" s="48" t="n"/>
      <c r="N17" s="46" t="n"/>
      <c r="O17" s="49">
        <f>2+10*O5</f>
        <v/>
      </c>
      <c r="P17" s="48" t="n"/>
      <c r="Q17" s="46" t="n"/>
      <c r="R17" s="49">
        <f>2+10*R5</f>
        <v/>
      </c>
      <c r="U17">
        <f>2+10*U5</f>
        <v/>
      </c>
      <c r="X17">
        <f>2+10*X5</f>
        <v/>
      </c>
    </row>
    <row r="18" hidden="1" customFormat="1" s="17">
      <c r="A18" s="46" t="n"/>
      <c r="B18" s="47" t="n"/>
      <c r="C18" s="47">
        <f>2+10*C6</f>
        <v/>
      </c>
      <c r="D18" s="48" t="n"/>
      <c r="E18" s="46" t="n"/>
      <c r="F18" s="49">
        <f>2+10*F6</f>
        <v/>
      </c>
      <c r="G18" s="48" t="n"/>
      <c r="H18" s="46" t="n"/>
      <c r="I18" s="49">
        <f>2+10*I6</f>
        <v/>
      </c>
      <c r="J18" s="48" t="n"/>
      <c r="K18" s="46" t="n"/>
      <c r="L18" s="49">
        <f>2+10*L6</f>
        <v/>
      </c>
      <c r="M18" s="48" t="n"/>
      <c r="N18" s="46" t="n"/>
      <c r="O18" s="49">
        <f>2+10*O6</f>
        <v/>
      </c>
      <c r="P18" s="48" t="n"/>
      <c r="Q18" s="46" t="n"/>
      <c r="R18" s="49">
        <f>2+10*R6</f>
        <v/>
      </c>
      <c r="U18">
        <f>2+10*U6</f>
        <v/>
      </c>
      <c r="X18">
        <f>2+10*X6</f>
        <v/>
      </c>
    </row>
    <row r="19" hidden="1" customFormat="1" s="17">
      <c r="A19" s="46" t="n"/>
      <c r="B19" s="47" t="n"/>
      <c r="C19" s="47">
        <f>2+10*C7</f>
        <v/>
      </c>
      <c r="D19" s="48" t="n"/>
      <c r="E19" s="46" t="n"/>
      <c r="F19" s="49" t="n"/>
      <c r="G19" s="48" t="n"/>
      <c r="H19" s="46" t="n"/>
      <c r="I19" s="49">
        <f>2+10*I7</f>
        <v/>
      </c>
      <c r="J19" s="48" t="n"/>
      <c r="K19" s="46" t="n"/>
      <c r="L19" s="49">
        <f>2+10*L7</f>
        <v/>
      </c>
      <c r="M19" s="48" t="n"/>
      <c r="N19" s="46" t="n"/>
      <c r="O19" s="49" t="n"/>
      <c r="P19" s="48" t="n"/>
      <c r="Q19" s="46" t="n"/>
      <c r="R19" s="49">
        <f>2+10*R7</f>
        <v/>
      </c>
      <c r="U19">
        <f>2+10*U7</f>
        <v/>
      </c>
      <c r="X19">
        <f>2+10*X7</f>
        <v/>
      </c>
    </row>
    <row r="20" hidden="1" customFormat="1" s="17">
      <c r="A20" s="46" t="n"/>
      <c r="B20" s="47" t="n"/>
      <c r="C20" s="47">
        <f>2+10*C8</f>
        <v/>
      </c>
      <c r="D20" s="48" t="n"/>
      <c r="E20" s="46" t="n"/>
      <c r="F20" s="49" t="n"/>
      <c r="G20" s="48" t="n"/>
      <c r="H20" s="46" t="n"/>
      <c r="I20" s="49">
        <f>2+10*I8</f>
        <v/>
      </c>
      <c r="J20" s="48" t="n"/>
      <c r="K20" s="46" t="n"/>
      <c r="L20" s="49">
        <f>2+10*L8</f>
        <v/>
      </c>
      <c r="M20" s="48" t="n"/>
      <c r="N20" s="46" t="n"/>
      <c r="O20" s="49" t="n"/>
      <c r="P20" s="48" t="n"/>
      <c r="Q20" s="46" t="n"/>
      <c r="R20" s="49">
        <f>2+10*R8</f>
        <v/>
      </c>
      <c r="U20">
        <f>2+10*U8</f>
        <v/>
      </c>
      <c r="X20">
        <f>2+10*X8</f>
        <v/>
      </c>
    </row>
    <row r="21" hidden="1" customFormat="1" s="17">
      <c r="A21" s="46" t="n"/>
      <c r="B21" s="47" t="n"/>
      <c r="C21" s="47">
        <f>2+10*C9</f>
        <v/>
      </c>
      <c r="D21" s="48" t="n"/>
      <c r="E21" s="46" t="n"/>
      <c r="F21" s="49" t="n"/>
      <c r="G21" s="48" t="n"/>
      <c r="H21" s="46" t="n"/>
      <c r="I21" s="49">
        <f>2+10*I9</f>
        <v/>
      </c>
      <c r="J21" s="48" t="n"/>
      <c r="K21" s="46" t="n"/>
      <c r="L21" s="49">
        <f>2+10*L9</f>
        <v/>
      </c>
      <c r="M21" s="48" t="n"/>
      <c r="N21" s="46" t="n"/>
      <c r="O21" s="49" t="n"/>
      <c r="P21" s="48" t="n"/>
      <c r="Q21" s="46" t="n"/>
      <c r="R21" s="49">
        <f>2+10*R9</f>
        <v/>
      </c>
      <c r="U21">
        <f>2+10*U9</f>
        <v/>
      </c>
      <c r="X21">
        <f>2+10*X9</f>
        <v/>
      </c>
    </row>
    <row r="22" hidden="1" customFormat="1" s="17">
      <c r="A22" s="46" t="n"/>
      <c r="B22" s="47" t="n"/>
      <c r="C22" s="47">
        <f>2+10*C10</f>
        <v/>
      </c>
      <c r="D22" s="48" t="n"/>
      <c r="E22" s="46" t="n"/>
      <c r="F22" s="49" t="n"/>
      <c r="G22" s="48" t="n"/>
      <c r="H22" s="46" t="n"/>
      <c r="I22" s="49">
        <f>2+10*I10</f>
        <v/>
      </c>
      <c r="J22" s="48" t="n"/>
      <c r="K22" s="46" t="n"/>
      <c r="L22" s="49">
        <f>2+10*L10</f>
        <v/>
      </c>
      <c r="M22" s="48" t="n"/>
      <c r="N22" s="46" t="n"/>
      <c r="O22" s="49" t="n"/>
      <c r="P22" s="48" t="n"/>
      <c r="Q22" s="46" t="n"/>
      <c r="R22" s="49" t="n"/>
      <c r="U22">
        <f>2+10*U10</f>
        <v/>
      </c>
      <c r="X22">
        <f>2+10*X10</f>
        <v/>
      </c>
    </row>
    <row r="23" hidden="1" customFormat="1" s="17">
      <c r="A23" s="48" t="n"/>
      <c r="B23" s="46" t="n"/>
      <c r="C23" s="49" t="n"/>
      <c r="D23" s="48" t="n"/>
      <c r="E23" s="46" t="n"/>
      <c r="F23" s="49" t="n"/>
      <c r="G23" s="48" t="n"/>
      <c r="H23" s="46" t="n"/>
      <c r="I23" s="49">
        <f>2+10*I11</f>
        <v/>
      </c>
      <c r="J23" s="48" t="n"/>
      <c r="K23" s="46" t="n"/>
      <c r="L23" s="49">
        <f>2+10*L11</f>
        <v/>
      </c>
      <c r="M23" s="48" t="n"/>
      <c r="N23" s="46" t="n"/>
      <c r="O23" s="49" t="n"/>
      <c r="P23" s="48" t="n"/>
      <c r="Q23" s="46" t="n"/>
      <c r="R23" s="49" t="n"/>
      <c r="U23">
        <f>2+10*U11</f>
        <v/>
      </c>
      <c r="X23">
        <f>2+10*X11</f>
        <v/>
      </c>
    </row>
    <row r="24" hidden="1" customFormat="1" s="17">
      <c r="A24" s="48" t="n"/>
      <c r="B24" s="46" t="n"/>
      <c r="C24" s="49" t="n"/>
      <c r="D24" s="48" t="n"/>
      <c r="E24" s="46" t="n"/>
      <c r="F24" s="49" t="n"/>
      <c r="G24" s="48" t="n"/>
      <c r="H24" s="46" t="n"/>
      <c r="I24" s="49">
        <f>2+10*I12</f>
        <v/>
      </c>
      <c r="J24" s="48" t="n"/>
      <c r="K24" s="46" t="n"/>
      <c r="L24" s="49" t="n"/>
      <c r="M24" s="48" t="n"/>
      <c r="N24" s="46" t="n"/>
      <c r="O24" s="49" t="n"/>
      <c r="P24" s="48" t="n"/>
      <c r="Q24" s="46" t="n"/>
      <c r="R24" s="49" t="n"/>
      <c r="X24">
        <f>2+10*X12</f>
        <v/>
      </c>
    </row>
    <row r="25" hidden="1" customFormat="1" s="17">
      <c r="A25" s="48" t="n"/>
      <c r="B25" s="46" t="n"/>
      <c r="C25" s="49" t="n"/>
      <c r="D25" s="48" t="n"/>
      <c r="E25" s="46" t="n"/>
      <c r="F25" s="49" t="n"/>
      <c r="G25" s="48" t="n"/>
      <c r="H25" s="46" t="n"/>
      <c r="I25" s="49" t="n"/>
      <c r="J25" s="48" t="n"/>
      <c r="K25" s="46" t="n"/>
      <c r="L25" s="49" t="n"/>
      <c r="M25" s="48" t="n"/>
      <c r="N25" s="46" t="n"/>
      <c r="O25" s="49" t="n"/>
      <c r="P25" s="48" t="n"/>
      <c r="Q25" s="46" t="n"/>
      <c r="R25" s="49" t="n"/>
      <c r="X25">
        <f>2+10*X13</f>
        <v/>
      </c>
    </row>
    <row r="26" hidden="1" ht="20" customFormat="1" customHeight="1" s="17" thickBot="1">
      <c r="A26" s="50" t="n"/>
      <c r="B26" s="51" t="n"/>
      <c r="C26" s="52" t="n"/>
      <c r="D26" s="50" t="n"/>
      <c r="E26" s="51" t="n"/>
      <c r="F26" s="52" t="n"/>
      <c r="G26" s="50" t="n"/>
      <c r="H26" s="51" t="n"/>
      <c r="I26" s="52" t="n"/>
      <c r="J26" s="50" t="n"/>
      <c r="K26" s="51" t="n"/>
      <c r="L26" s="52" t="n"/>
      <c r="M26" s="50" t="n"/>
      <c r="N26" s="51" t="n"/>
      <c r="O26" s="52" t="n"/>
      <c r="P26" s="50" t="n"/>
      <c r="Q26" s="51" t="n"/>
      <c r="R26" s="52" t="n"/>
    </row>
    <row r="27" hidden="1" customFormat="1" s="17">
      <c r="A27" s="53" t="n"/>
      <c r="B27" s="54" t="n"/>
      <c r="C27" s="55" t="n"/>
      <c r="D27" s="53" t="n"/>
      <c r="E27" s="54" t="n"/>
      <c r="F27" s="55" t="n"/>
      <c r="G27" s="53" t="n"/>
      <c r="H27" s="54" t="n"/>
      <c r="I27" s="55" t="n"/>
      <c r="J27" s="53" t="n"/>
      <c r="K27" s="54" t="n"/>
      <c r="L27" s="55" t="n"/>
      <c r="M27" s="53" t="n"/>
      <c r="N27" s="54" t="n"/>
      <c r="O27" s="55" t="n"/>
      <c r="P27" s="53" t="n"/>
      <c r="Q27" s="54" t="n"/>
      <c r="R27" s="55" t="n"/>
    </row>
    <row r="28" hidden="1" customFormat="1" s="17">
      <c r="A28" s="48" t="n"/>
      <c r="B28" s="46" t="n"/>
      <c r="C28" s="49">
        <f>IF(('Score sheet'!E8/'Calculations sheet'!$B$10-'Calculations sheet'!C4)&gt;=0, EXP(ABS('Score sheet'!E8/'Calculations sheet'!$B$10-'Calculations sheet'!C4)/0.5)-1, EXP(ABS('Score sheet'!E8/'Calculations sheet'!$B$10-'Calculations sheet'!C4)/0.2)-1)</f>
        <v/>
      </c>
      <c r="D28" s="48" t="n"/>
      <c r="E28" s="46" t="n"/>
      <c r="F28" s="49">
        <f>IF(('Score sheet'!G8/'Calculations sheet'!$E$6-'Calculations sheet'!F4)&gt;=0, EXP(ABS('Score sheet'!G8/'Calculations sheet'!$E$6-'Calculations sheet'!F4)/0.5)-1, EXP(ABS('Score sheet'!G8/'Calculations sheet'!$E$6-'Calculations sheet'!F4)/0.2)-1)</f>
        <v/>
      </c>
      <c r="G28" s="48" t="n"/>
      <c r="H28" s="46" t="n"/>
      <c r="I28" s="49">
        <f>IF(('Score sheet'!I8/'Calculations sheet'!$H$12-'Calculations sheet'!I4)&gt;=0, EXP(ABS('Score sheet'!I8/'Calculations sheet'!$H$12-'Calculations sheet'!I4)/0.5)-1, EXP(ABS('Score sheet'!I8/'Calculations sheet'!$H$12-'Calculations sheet'!I4)/0.2)-1)</f>
        <v/>
      </c>
      <c r="J28" s="48" t="n"/>
      <c r="K28" s="46" t="n"/>
      <c r="L28" s="49">
        <f>IF(('Score sheet'!K8/'Calculations sheet'!$K$11-'Calculations sheet'!L4)&gt;=0, EXP(ABS('Score sheet'!K8/'Calculations sheet'!$K$11-'Calculations sheet'!L4)/0.5)-1, EXP(ABS('Score sheet'!K8/'Calculations sheet'!$K$11-'Calculations sheet'!L4)/0.2)-1)</f>
        <v/>
      </c>
      <c r="M28" s="48" t="n"/>
      <c r="N28" s="46" t="n"/>
      <c r="O28" s="49">
        <f>IF(('Score sheet'!M8/'Calculations sheet'!$N$6-'Calculations sheet'!O4)&gt;=0, EXP(ABS('Score sheet'!M8/'Calculations sheet'!$N$6-'Calculations sheet'!O4)/0.5)-1, EXP(ABS('Score sheet'!M8/'Calculations sheet'!$N$6-'Calculations sheet'!O4)/0.2)-1)</f>
        <v/>
      </c>
      <c r="P28" s="48" t="n"/>
      <c r="Q28" s="46" t="n"/>
      <c r="R28" s="49">
        <f>IF(('Score sheet'!O8/'Calculations sheet'!$Q$9-'Calculations sheet'!R4)&gt;=0, EXP(ABS('Score sheet'!O8/'Calculations sheet'!$Q$9-'Calculations sheet'!R4)/0.5)-1, EXP(ABS('Score sheet'!O8/'Calculations sheet'!$Q$9-'Calculations sheet'!R4)/0.2)-1)</f>
        <v/>
      </c>
      <c r="U28">
        <f>IF(('Score sheet'!Q8/'Calculations sheet'!$T$11-'Calculations sheet'!U4)&gt;=0, EXP(ABS('Score sheet'!Q8/'Calculations sheet'!$T$11-'Calculations sheet'!U4)/0.5)-1, EXP(ABS('Score sheet'!Q8/'Calculations sheet'!$T$11-'Calculations sheet'!U4)/0.2)-1)</f>
        <v/>
      </c>
      <c r="X28">
        <f>IF(('Score sheet'!S8/'Calculations sheet'!$W$13-'Calculations sheet'!X4)&gt;=0, EXP(ABS('Score sheet'!S8/'Calculations sheet'!$W$13-'Calculations sheet'!X4)/0.5)-1, EXP(ABS('Score sheet'!S8/'Calculations sheet'!$W$13-'Calculations sheet'!X4)/0.2)-1)</f>
        <v/>
      </c>
    </row>
    <row r="29" hidden="1" customFormat="1" s="17">
      <c r="A29" s="48" t="n"/>
      <c r="B29" s="46" t="n"/>
      <c r="C29" s="49">
        <f>IF(('Score sheet'!E9/'Calculations sheet'!$B$10-'Calculations sheet'!C5)&gt;=0, EXP(ABS('Score sheet'!E9/'Calculations sheet'!$B$10-'Calculations sheet'!C5)/0.5)-1, EXP(ABS('Score sheet'!E9/'Calculations sheet'!$B$10-'Calculations sheet'!C5)/0.2)-1)</f>
        <v/>
      </c>
      <c r="D29" s="48" t="n"/>
      <c r="E29" s="46" t="n"/>
      <c r="F29" s="49">
        <f>IF(('Score sheet'!G9/'Calculations sheet'!$E$6-'Calculations sheet'!F5)&gt;=0, EXP(ABS('Score sheet'!G9/'Calculations sheet'!$E$6-'Calculations sheet'!F5)/0.5)-1, EXP(ABS('Score sheet'!G9/'Calculations sheet'!$E$6-'Calculations sheet'!F5)/0.2)-1)</f>
        <v/>
      </c>
      <c r="G29" s="48" t="n"/>
      <c r="H29" s="46" t="n"/>
      <c r="I29" s="49">
        <f>IF(('Score sheet'!I9/'Calculations sheet'!$H$12-'Calculations sheet'!I5)&gt;=0, EXP(ABS('Score sheet'!I9/'Calculations sheet'!$H$12-'Calculations sheet'!I5)/0.5)-1, EXP(ABS('Score sheet'!I9/'Calculations sheet'!$H$12-'Calculations sheet'!I5)/0.2)-1)</f>
        <v/>
      </c>
      <c r="J29" s="48" t="n"/>
      <c r="K29" s="46" t="n"/>
      <c r="L29" s="49">
        <f>IF(('Score sheet'!K9/'Calculations sheet'!$K$11-'Calculations sheet'!L5)&gt;=0, EXP(ABS('Score sheet'!K9/'Calculations sheet'!$K$11-'Calculations sheet'!L5)/0.5)-1, EXP(ABS('Score sheet'!K9/'Calculations sheet'!$K$11-'Calculations sheet'!L5)/0.2)-1)</f>
        <v/>
      </c>
      <c r="M29" s="48" t="n"/>
      <c r="N29" s="46" t="n"/>
      <c r="O29" s="49">
        <f>IF(('Score sheet'!M9/'Calculations sheet'!$N$6-'Calculations sheet'!O5)&gt;=0, EXP(ABS('Score sheet'!M9/'Calculations sheet'!$N$6-'Calculations sheet'!O5)/0.5)-1, EXP(ABS('Score sheet'!M9/'Calculations sheet'!$N$6-'Calculations sheet'!O5)/0.2)-1)</f>
        <v/>
      </c>
      <c r="P29" s="48" t="n"/>
      <c r="Q29" s="46" t="n"/>
      <c r="R29" s="49">
        <f>IF(('Score sheet'!O9/'Calculations sheet'!$Q$9-'Calculations sheet'!R5)&gt;=0, EXP(ABS('Score sheet'!O9/'Calculations sheet'!$Q$9-'Calculations sheet'!R5)/0.5)-1, EXP(ABS('Score sheet'!O9/'Calculations sheet'!$Q$9-'Calculations sheet'!R5)/0.2)-1)</f>
        <v/>
      </c>
      <c r="U29">
        <f>IF(('Score sheet'!Q9/'Calculations sheet'!$T$11-'Calculations sheet'!U5)&gt;=0, EXP(ABS('Score sheet'!Q9/'Calculations sheet'!$T$11-'Calculations sheet'!U5)/0.5)-1, EXP(ABS('Score sheet'!Q9/'Calculations sheet'!$T$11-'Calculations sheet'!U5)/0.2)-1)</f>
        <v/>
      </c>
      <c r="X29">
        <f>IF(('Score sheet'!S9/'Calculations sheet'!$W$13-'Calculations sheet'!X5)&gt;=0, EXP(ABS('Score sheet'!S9/'Calculations sheet'!$W$13-'Calculations sheet'!X5)/0.5)-1, EXP(ABS('Score sheet'!S9/'Calculations sheet'!$W$13-'Calculations sheet'!X5)/0.2)-1)</f>
        <v/>
      </c>
    </row>
    <row r="30" hidden="1" customFormat="1" s="17">
      <c r="A30" s="48" t="n"/>
      <c r="B30" s="46" t="n"/>
      <c r="C30" s="49">
        <f>IF(('Score sheet'!E10/'Calculations sheet'!$B$10-'Calculations sheet'!C6)&gt;=0, EXP(ABS('Score sheet'!E10/'Calculations sheet'!$B$10-'Calculations sheet'!C6)/0.5)-1, EXP(ABS('Score sheet'!E10/'Calculations sheet'!$B$10-'Calculations sheet'!C6)/0.2)-1)</f>
        <v/>
      </c>
      <c r="D30" s="48" t="n"/>
      <c r="E30" s="46" t="n"/>
      <c r="F30" s="49">
        <f>IF(('Score sheet'!G10/'Calculations sheet'!$E$6-'Calculations sheet'!F6)&gt;=0, EXP(ABS('Score sheet'!G10/'Calculations sheet'!$E$6-'Calculations sheet'!F6)/0.5)-1, EXP(ABS('Score sheet'!G10/'Calculations sheet'!$E$6-'Calculations sheet'!F6)/0.2)-1)</f>
        <v/>
      </c>
      <c r="G30" s="48" t="n"/>
      <c r="H30" s="46" t="n"/>
      <c r="I30" s="49">
        <f>IF(('Score sheet'!I10/'Calculations sheet'!$H$12-'Calculations sheet'!I6)&gt;=0, EXP(ABS('Score sheet'!I10/'Calculations sheet'!$H$12-'Calculations sheet'!I6)/0.5)-1, EXP(ABS('Score sheet'!I10/'Calculations sheet'!$H$12-'Calculations sheet'!I6)/0.2)-1)</f>
        <v/>
      </c>
      <c r="J30" s="48" t="n"/>
      <c r="K30" s="46" t="n"/>
      <c r="L30" s="49">
        <f>IF(('Score sheet'!K10/'Calculations sheet'!$K$11-'Calculations sheet'!L6)&gt;=0, EXP(ABS('Score sheet'!K10/'Calculations sheet'!$K$11-'Calculations sheet'!L6)/0.5)-1, EXP(ABS('Score sheet'!K10/'Calculations sheet'!$K$11-'Calculations sheet'!L6)/0.2)-1)</f>
        <v/>
      </c>
      <c r="M30" s="48" t="n"/>
      <c r="N30" s="46" t="n"/>
      <c r="O30" s="49">
        <f>IF(('Score sheet'!M10/'Calculations sheet'!$N$6-'Calculations sheet'!O6)&gt;=0, EXP(ABS('Score sheet'!M10/'Calculations sheet'!$N$6-'Calculations sheet'!O6)/0.5)-1, EXP(ABS('Score sheet'!M10/'Calculations sheet'!$N$6-'Calculations sheet'!O6)/0.2)-1)</f>
        <v/>
      </c>
      <c r="P30" s="48" t="n"/>
      <c r="Q30" s="46" t="n"/>
      <c r="R30" s="49">
        <f>IF(('Score sheet'!O10/'Calculations sheet'!$Q$9-'Calculations sheet'!R6)&gt;=0, EXP(ABS('Score sheet'!O10/'Calculations sheet'!$Q$9-'Calculations sheet'!R6)/0.5)-1, EXP(ABS('Score sheet'!O10/'Calculations sheet'!$Q$9-'Calculations sheet'!R6)/0.2)-1)</f>
        <v/>
      </c>
      <c r="U30">
        <f>IF(('Score sheet'!Q10/'Calculations sheet'!$T$11-'Calculations sheet'!U6)&gt;=0, EXP(ABS('Score sheet'!Q10/'Calculations sheet'!$T$11-'Calculations sheet'!U6)/0.5)-1, EXP(ABS('Score sheet'!Q10/'Calculations sheet'!$T$11-'Calculations sheet'!U6)/0.2)-1)</f>
        <v/>
      </c>
      <c r="X30">
        <f>IF(('Score sheet'!S10/'Calculations sheet'!$W$13-'Calculations sheet'!X6)&gt;=0, EXP(ABS('Score sheet'!S10/'Calculations sheet'!$W$13-'Calculations sheet'!X6)/0.5)-1, EXP(ABS('Score sheet'!S10/'Calculations sheet'!$W$13-'Calculations sheet'!X6)/0.2)-1)</f>
        <v/>
      </c>
    </row>
    <row r="31" hidden="1">
      <c r="A31" s="56" t="n"/>
      <c r="B31" s="57" t="n"/>
      <c r="C31" s="49">
        <f>IF(('Score sheet'!E11/'Calculations sheet'!$B$10-'Calculations sheet'!C7)&gt;=0, EXP(ABS('Score sheet'!E11/'Calculations sheet'!$B$10-'Calculations sheet'!C7)/0.5)-1, EXP(ABS('Score sheet'!E11/'Calculations sheet'!$B$10-'Calculations sheet'!C7)/0.2)-1)</f>
        <v/>
      </c>
      <c r="D31" s="56" t="n"/>
      <c r="E31" s="57" t="n"/>
      <c r="F31" s="49" t="n"/>
      <c r="G31" s="56" t="n"/>
      <c r="H31" s="57" t="n"/>
      <c r="I31" s="49">
        <f>IF(('Score sheet'!I11/'Calculations sheet'!$H$12-'Calculations sheet'!I7)&gt;=0, EXP(ABS('Score sheet'!I11/'Calculations sheet'!$H$12-'Calculations sheet'!I7)/0.5)-1, EXP(ABS('Score sheet'!I11/'Calculations sheet'!$H$12-'Calculations sheet'!I7)/0.2)-1)</f>
        <v/>
      </c>
      <c r="J31" s="56" t="n"/>
      <c r="K31" s="57" t="n"/>
      <c r="L31" s="49">
        <f>IF(('Score sheet'!K11/'Calculations sheet'!$K$11-'Calculations sheet'!L7)&gt;=0, EXP(ABS('Score sheet'!K11/'Calculations sheet'!$K$11-'Calculations sheet'!L7)/0.5)-1, EXP(ABS('Score sheet'!K11/'Calculations sheet'!$K$11-'Calculations sheet'!L7)/0.2)-1)</f>
        <v/>
      </c>
      <c r="M31" s="56" t="n"/>
      <c r="N31" s="57" t="n"/>
      <c r="O31" s="49" t="n"/>
      <c r="P31" s="56" t="n"/>
      <c r="Q31" s="57" t="n"/>
      <c r="R31" s="49">
        <f>IF(('Score sheet'!O11/'Calculations sheet'!$Q$9-'Calculations sheet'!R7)&gt;=0, EXP(ABS('Score sheet'!O11/'Calculations sheet'!$Q$9-'Calculations sheet'!R7)/0.5)-1, EXP(ABS('Score sheet'!O11/'Calculations sheet'!$Q$9-'Calculations sheet'!R7)/0.2)-1)</f>
        <v/>
      </c>
      <c r="U31">
        <f>IF(('Score sheet'!Q11/'Calculations sheet'!$T$11-'Calculations sheet'!U7)&gt;=0, EXP(ABS('Score sheet'!Q11/'Calculations sheet'!$T$11-'Calculations sheet'!U7)/0.5)-1, EXP(ABS('Score sheet'!Q11/'Calculations sheet'!$T$11-'Calculations sheet'!U7)/0.2)-1)</f>
        <v/>
      </c>
      <c r="X31">
        <f>IF(('Score sheet'!S11/'Calculations sheet'!$W$13-'Calculations sheet'!X7)&gt;=0, EXP(ABS('Score sheet'!S11/'Calculations sheet'!$W$13-'Calculations sheet'!X7)/0.5)-1, EXP(ABS('Score sheet'!S11/'Calculations sheet'!$W$13-'Calculations sheet'!X7)/0.2)-1)</f>
        <v/>
      </c>
    </row>
    <row r="32" hidden="1">
      <c r="A32" s="56" t="n"/>
      <c r="B32" s="57" t="n"/>
      <c r="C32" s="49">
        <f>IF(('Score sheet'!E12/'Calculations sheet'!$B$10-'Calculations sheet'!C8)&gt;=0, EXP(ABS('Score sheet'!E12/'Calculations sheet'!$B$10-'Calculations sheet'!C8)/0.5)-1, EXP(ABS('Score sheet'!E12/'Calculations sheet'!$B$10-'Calculations sheet'!C8)/0.2)-1)</f>
        <v/>
      </c>
      <c r="D32" s="56" t="n"/>
      <c r="E32" s="57" t="n"/>
      <c r="F32" s="49" t="n"/>
      <c r="G32" s="56" t="n"/>
      <c r="H32" s="57" t="n"/>
      <c r="I32" s="49">
        <f>IF(('Score sheet'!I12/'Calculations sheet'!$H$12-'Calculations sheet'!I8)&gt;=0, EXP(ABS('Score sheet'!I12/'Calculations sheet'!$H$12-'Calculations sheet'!I8)/0.5)-1, EXP(ABS('Score sheet'!I12/'Calculations sheet'!$H$12-'Calculations sheet'!I8)/0.2)-1)</f>
        <v/>
      </c>
      <c r="J32" s="56" t="n"/>
      <c r="K32" s="57" t="n"/>
      <c r="L32" s="49">
        <f>IF(('Score sheet'!K12/'Calculations sheet'!$K$11-'Calculations sheet'!L8)&gt;=0, EXP(ABS('Score sheet'!K12/'Calculations sheet'!$K$11-'Calculations sheet'!L8)/0.5)-1, EXP(ABS('Score sheet'!K12/'Calculations sheet'!$K$11-'Calculations sheet'!L8)/0.2)-1)</f>
        <v/>
      </c>
      <c r="M32" s="56" t="n"/>
      <c r="N32" s="57" t="n"/>
      <c r="O32" s="49" t="n"/>
      <c r="P32" s="56" t="n"/>
      <c r="Q32" s="57" t="n"/>
      <c r="R32" s="49">
        <f>IF(('Score sheet'!O12/'Calculations sheet'!$Q$9-'Calculations sheet'!R8)&gt;=0, EXP(ABS('Score sheet'!O12/'Calculations sheet'!$Q$9-'Calculations sheet'!R8)/0.5)-1, EXP(ABS('Score sheet'!O12/'Calculations sheet'!$Q$9-'Calculations sheet'!R8)/0.2)-1)</f>
        <v/>
      </c>
      <c r="U32">
        <f>IF(('Score sheet'!Q12/'Calculations sheet'!$T$11-'Calculations sheet'!U8)&gt;=0, EXP(ABS('Score sheet'!Q12/'Calculations sheet'!$T$11-'Calculations sheet'!U8)/0.5)-1, EXP(ABS('Score sheet'!Q12/'Calculations sheet'!$T$11-'Calculations sheet'!U8)/0.2)-1)</f>
        <v/>
      </c>
      <c r="X32">
        <f>IF(('Score sheet'!S12/'Calculations sheet'!$W$13-'Calculations sheet'!X8)&gt;=0, EXP(ABS('Score sheet'!S12/'Calculations sheet'!$W$13-'Calculations sheet'!X8)/0.5)-1, EXP(ABS('Score sheet'!S12/'Calculations sheet'!$W$13-'Calculations sheet'!X8)/0.2)-1)</f>
        <v/>
      </c>
    </row>
    <row r="33" hidden="1">
      <c r="A33" s="56" t="n"/>
      <c r="B33" s="57" t="n"/>
      <c r="C33" s="49">
        <f>IF(('Score sheet'!E13/'Calculations sheet'!$B$10-'Calculations sheet'!C9)&gt;=0, EXP(ABS('Score sheet'!E13/'Calculations sheet'!$B$10-'Calculations sheet'!C9)/0.5)-1, EXP(ABS('Score sheet'!E13/'Calculations sheet'!$B$10-'Calculations sheet'!C9)/0.2)-1)</f>
        <v/>
      </c>
      <c r="D33" s="56" t="n"/>
      <c r="E33" s="57" t="n"/>
      <c r="F33" s="58" t="n"/>
      <c r="G33" s="56" t="n"/>
      <c r="H33" s="57" t="n"/>
      <c r="I33" s="49">
        <f>IF(('Score sheet'!I13/'Calculations sheet'!$H$12-'Calculations sheet'!I9)&gt;=0, EXP(ABS('Score sheet'!I13/'Calculations sheet'!$H$12-'Calculations sheet'!I9)/0.5)-1, EXP(ABS('Score sheet'!I13/'Calculations sheet'!$H$12-'Calculations sheet'!I9)/0.2)-1)</f>
        <v/>
      </c>
      <c r="J33" s="56" t="n"/>
      <c r="K33" s="57" t="n"/>
      <c r="L33" s="49">
        <f>IF(('Score sheet'!K13/'Calculations sheet'!$K$11-'Calculations sheet'!L9)&gt;=0, EXP(ABS('Score sheet'!K13/'Calculations sheet'!$K$11-'Calculations sheet'!L9)/0.5)-1, EXP(ABS('Score sheet'!K13/'Calculations sheet'!$K$11-'Calculations sheet'!L9)/0.2)-1)</f>
        <v/>
      </c>
      <c r="M33" s="56" t="n"/>
      <c r="N33" s="57" t="n"/>
      <c r="O33" s="49" t="n"/>
      <c r="P33" s="56" t="n"/>
      <c r="Q33" s="57" t="n"/>
      <c r="R33" s="49">
        <f>IF(('Score sheet'!O13/'Calculations sheet'!$Q$9-'Calculations sheet'!R9)&gt;=0, EXP(ABS('Score sheet'!O13/'Calculations sheet'!$Q$9-'Calculations sheet'!R9)/0.5)-1, EXP(ABS('Score sheet'!O13/'Calculations sheet'!$Q$9-'Calculations sheet'!R9)/0.2)-1)</f>
        <v/>
      </c>
      <c r="U33">
        <f>IF(('Score sheet'!Q13/'Calculations sheet'!$T$11-'Calculations sheet'!U9)&gt;=0, EXP(ABS('Score sheet'!Q13/'Calculations sheet'!$T$11-'Calculations sheet'!U9)/0.5)-1, EXP(ABS('Score sheet'!Q13/'Calculations sheet'!$T$11-'Calculations sheet'!U9)/0.2)-1)</f>
        <v/>
      </c>
      <c r="X33">
        <f>IF(('Score sheet'!S13/'Calculations sheet'!$W$13-'Calculations sheet'!X9)&gt;=0, EXP(ABS('Score sheet'!S13/'Calculations sheet'!$W$13-'Calculations sheet'!X9)/0.5)-1, EXP(ABS('Score sheet'!S13/'Calculations sheet'!$W$13-'Calculations sheet'!X9)/0.2)-1)</f>
        <v/>
      </c>
    </row>
    <row r="34" hidden="1">
      <c r="A34" s="56" t="n"/>
      <c r="B34" s="57" t="n"/>
      <c r="C34" s="49">
        <f>IF(('Score sheet'!E14/'Calculations sheet'!$B$10-'Calculations sheet'!C10)&gt;=0, EXP(ABS('Score sheet'!E14/'Calculations sheet'!$B$10-'Calculations sheet'!C10)/0.5)-1, EXP(ABS('Score sheet'!E14/'Calculations sheet'!$B$10-'Calculations sheet'!C10)/0.2)-1)</f>
        <v/>
      </c>
      <c r="D34" s="56" t="n"/>
      <c r="E34" s="57" t="n"/>
      <c r="F34" s="58" t="n"/>
      <c r="G34" s="56" t="n"/>
      <c r="H34" s="57" t="n"/>
      <c r="I34" s="49">
        <f>IF(('Score sheet'!I14/'Calculations sheet'!$H$12-'Calculations sheet'!I10)&gt;=0, EXP(ABS('Score sheet'!I14/'Calculations sheet'!$H$12-'Calculations sheet'!I10)/0.5)-1, EXP(ABS('Score sheet'!I14/'Calculations sheet'!$H$12-'Calculations sheet'!I10)/0.2)-1)</f>
        <v/>
      </c>
      <c r="J34" s="56" t="n"/>
      <c r="K34" s="57" t="n"/>
      <c r="L34" s="49">
        <f>IF(('Score sheet'!K14/'Calculations sheet'!$K$11-'Calculations sheet'!L10)&gt;=0, EXP(ABS('Score sheet'!K14/'Calculations sheet'!$K$11-'Calculations sheet'!L10)/0.5)-1, EXP(ABS('Score sheet'!K14/'Calculations sheet'!$K$11-'Calculations sheet'!L10)/0.2)-1)</f>
        <v/>
      </c>
      <c r="M34" s="56" t="n"/>
      <c r="N34" s="57" t="n"/>
      <c r="O34" s="49" t="n"/>
      <c r="P34" s="56" t="n"/>
      <c r="Q34" s="57" t="n"/>
      <c r="R34" s="49" t="n"/>
      <c r="U34">
        <f>IF(('Score sheet'!Q14/'Calculations sheet'!$T$11-'Calculations sheet'!U10)&gt;=0, EXP(ABS('Score sheet'!Q14/'Calculations sheet'!$T$11-'Calculations sheet'!U10)/0.5)-1, EXP(ABS('Score sheet'!Q14/'Calculations sheet'!$T$11-'Calculations sheet'!U10)/0.2)-1)</f>
        <v/>
      </c>
      <c r="X34">
        <f>IF(('Score sheet'!S14/'Calculations sheet'!$W$13-'Calculations sheet'!X10)&gt;=0, EXP(ABS('Score sheet'!S14/'Calculations sheet'!$W$13-'Calculations sheet'!X10)/0.5)-1, EXP(ABS('Score sheet'!S14/'Calculations sheet'!$W$13-'Calculations sheet'!X10)/0.2)-1)</f>
        <v/>
      </c>
    </row>
    <row r="35" hidden="1">
      <c r="A35" s="56" t="n"/>
      <c r="B35" s="57" t="n"/>
      <c r="C35" s="58" t="n"/>
      <c r="D35" s="56" t="n"/>
      <c r="E35" s="57" t="n"/>
      <c r="F35" s="58" t="n"/>
      <c r="G35" s="56" t="n"/>
      <c r="H35" s="57" t="n"/>
      <c r="I35" s="49">
        <f>IF(('Score sheet'!I15/'Calculations sheet'!$H$12-'Calculations sheet'!I11)&gt;=0, EXP(ABS('Score sheet'!I15/'Calculations sheet'!$H$12-'Calculations sheet'!I11)/0.5)-1, EXP(ABS('Score sheet'!I15/'Calculations sheet'!$H$12-'Calculations sheet'!I11)/0.2)-1)</f>
        <v/>
      </c>
      <c r="J35" s="56" t="n"/>
      <c r="K35" s="57" t="n"/>
      <c r="L35" s="49">
        <f>IF(('Score sheet'!K15/'Calculations sheet'!$K$11-'Calculations sheet'!L11)&gt;=0, EXP(ABS('Score sheet'!K15/'Calculations sheet'!$K$11-'Calculations sheet'!L11)/0.5)-1, EXP(ABS('Score sheet'!K15/'Calculations sheet'!$K$11-'Calculations sheet'!L11)/0.2)-1)</f>
        <v/>
      </c>
      <c r="M35" s="56" t="n"/>
      <c r="N35" s="57" t="n"/>
      <c r="O35" s="49" t="n"/>
      <c r="P35" s="56" t="n"/>
      <c r="Q35" s="57" t="n"/>
      <c r="R35" s="49" t="n"/>
      <c r="U35">
        <f>IF(('Score sheet'!Q15/'Calculations sheet'!$T$11-'Calculations sheet'!U11)&gt;=0, EXP(ABS('Score sheet'!Q15/'Calculations sheet'!$T$11-'Calculations sheet'!U11)/0.5)-1, EXP(ABS('Score sheet'!Q15/'Calculations sheet'!$T$11-'Calculations sheet'!U11)/0.2)-1)</f>
        <v/>
      </c>
      <c r="X35">
        <f>IF(('Score sheet'!S15/'Calculations sheet'!$W$13-'Calculations sheet'!X11)&gt;=0, EXP(ABS('Score sheet'!S15/'Calculations sheet'!$W$13-'Calculations sheet'!X11)/0.5)-1, EXP(ABS('Score sheet'!S15/'Calculations sheet'!$W$13-'Calculations sheet'!X11)/0.2)-1)</f>
        <v/>
      </c>
    </row>
    <row r="36" hidden="1">
      <c r="A36" s="56" t="n"/>
      <c r="B36" s="57" t="n"/>
      <c r="C36" s="58" t="n"/>
      <c r="D36" s="56" t="n"/>
      <c r="E36" s="57" t="n"/>
      <c r="F36" s="58" t="n"/>
      <c r="G36" s="56" t="n"/>
      <c r="H36" s="57" t="n"/>
      <c r="I36" s="49">
        <f>IF(('Score sheet'!I16/'Calculations sheet'!$H$12-'Calculations sheet'!I12)&gt;=0, EXP(ABS('Score sheet'!I16/'Calculations sheet'!$H$12-'Calculations sheet'!I12)/0.5)-1, EXP(ABS('Score sheet'!I16/'Calculations sheet'!$H$12-'Calculations sheet'!I12)/0.2)-1)</f>
        <v/>
      </c>
      <c r="J36" s="56" t="n"/>
      <c r="K36" s="57" t="n"/>
      <c r="L36" s="49" t="n"/>
      <c r="M36" s="56" t="n"/>
      <c r="N36" s="57" t="n"/>
      <c r="O36" s="49" t="n"/>
      <c r="P36" s="56" t="n"/>
      <c r="Q36" s="57" t="n"/>
      <c r="R36" s="49" t="n"/>
      <c r="X36">
        <f>IF(('Score sheet'!S16/'Calculations sheet'!$W$13-'Calculations sheet'!X12)&gt;=0, EXP(ABS('Score sheet'!S16/'Calculations sheet'!$W$13-'Calculations sheet'!X12)/0.5)-1, EXP(ABS('Score sheet'!S16/'Calculations sheet'!$W$13-'Calculations sheet'!X12)/0.2)-1)</f>
        <v/>
      </c>
    </row>
    <row r="37" hidden="1">
      <c r="A37" s="56" t="n"/>
      <c r="B37" s="57" t="n"/>
      <c r="C37" s="58" t="n"/>
      <c r="D37" s="56" t="n"/>
      <c r="E37" s="57" t="n"/>
      <c r="F37" s="58" t="n"/>
      <c r="G37" s="56" t="n"/>
      <c r="H37" s="57" t="n"/>
      <c r="I37" s="49" t="n"/>
      <c r="J37" s="56" t="n"/>
      <c r="K37" s="57" t="n"/>
      <c r="L37" s="58" t="n"/>
      <c r="M37" s="56" t="n"/>
      <c r="N37" s="57" t="n"/>
      <c r="O37" s="58" t="n"/>
      <c r="P37" s="56" t="n"/>
      <c r="Q37" s="57" t="n"/>
      <c r="R37" s="49" t="n"/>
      <c r="X37">
        <f>IF(('Score sheet'!S17/'Calculations sheet'!$W$13-'Calculations sheet'!X13)&gt;=0, EXP(ABS('Score sheet'!S17/'Calculations sheet'!$W$13-'Calculations sheet'!X13)/0.5)-1, EXP(ABS('Score sheet'!S17/'Calculations sheet'!$W$13-'Calculations sheet'!X13)/0.2)-1)</f>
        <v/>
      </c>
    </row>
    <row r="38" hidden="1" ht="20" customHeight="1" thickBot="1">
      <c r="A38" s="59" t="n"/>
      <c r="B38" s="60" t="n"/>
      <c r="C38" s="61" t="n"/>
      <c r="D38" s="59" t="n"/>
      <c r="E38" s="60" t="n"/>
      <c r="F38" s="61" t="n"/>
      <c r="G38" s="59" t="n"/>
      <c r="H38" s="60" t="n"/>
      <c r="I38" s="61" t="n"/>
      <c r="J38" s="59" t="n"/>
      <c r="K38" s="60" t="n"/>
      <c r="L38" s="61" t="n"/>
      <c r="M38" s="59" t="n"/>
      <c r="N38" s="60" t="n"/>
      <c r="O38" s="61" t="n"/>
      <c r="P38" s="59" t="n"/>
      <c r="Q38" s="60" t="n"/>
      <c r="R38" s="52" t="n"/>
    </row>
    <row r="39" hidden="1">
      <c r="A39" s="53" t="n"/>
      <c r="B39" s="54" t="n"/>
      <c r="C39" s="55" t="n"/>
      <c r="D39" s="53" t="n"/>
      <c r="E39" s="54" t="n"/>
      <c r="F39" s="55" t="n"/>
      <c r="G39" s="53" t="n"/>
      <c r="H39" s="54" t="n"/>
      <c r="I39" s="55" t="n"/>
      <c r="J39" s="53" t="n"/>
      <c r="K39" s="54" t="n"/>
      <c r="L39" s="55" t="n"/>
      <c r="M39" s="53" t="n"/>
      <c r="N39" s="54" t="n"/>
      <c r="O39" s="55" t="n"/>
      <c r="P39" s="53" t="n"/>
      <c r="Q39" s="54" t="n"/>
      <c r="R39" s="55" t="n"/>
    </row>
    <row r="40" hidden="1">
      <c r="A40" s="56" t="n"/>
      <c r="B40" s="57" t="n"/>
      <c r="C40" s="58" t="n">
        <v>1</v>
      </c>
      <c r="D40" s="56" t="n"/>
      <c r="E40" s="57" t="n"/>
      <c r="F40" s="58" t="n">
        <v>1</v>
      </c>
      <c r="G40" s="56" t="n"/>
      <c r="H40" s="57" t="n"/>
      <c r="I40" s="58" t="n">
        <v>1</v>
      </c>
      <c r="J40" s="56" t="n"/>
      <c r="K40" s="57" t="n"/>
      <c r="L40" s="58" t="n">
        <v>1</v>
      </c>
      <c r="M40" s="56" t="n"/>
      <c r="N40" s="57" t="n"/>
      <c r="O40" s="58" t="n">
        <v>1</v>
      </c>
      <c r="P40" s="56" t="n"/>
      <c r="Q40" s="57" t="n"/>
      <c r="R40" s="58" t="n">
        <v>1</v>
      </c>
      <c r="U40" t="n">
        <v>1</v>
      </c>
      <c r="X40" t="n">
        <v>1</v>
      </c>
    </row>
    <row r="41" hidden="1">
      <c r="A41" s="56" t="n"/>
      <c r="B41" s="57" t="n"/>
      <c r="C41" s="58">
        <f>IF(('Score sheet'!E9/'Calculations sheet'!$B$10-'Score sheet'!E8/'Calculations sheet'!$B$10)&lt;0, 1+10*ABS('Score sheet'!E9/'Calculations sheet'!$B$10-'Score sheet'!E8/'Calculations sheet'!$B$10), 1)</f>
        <v/>
      </c>
      <c r="D41" s="56" t="n"/>
      <c r="E41" s="57" t="n"/>
      <c r="F41" s="58">
        <f>IF(('Score sheet'!G9/'Calculations sheet'!$E$6-'Score sheet'!G8/'Calculations sheet'!$E$6)&lt;0, 1+10*ABS('Score sheet'!G9/'Calculations sheet'!$E$6-'Score sheet'!G8/'Calculations sheet'!$E$6), 1)</f>
        <v/>
      </c>
      <c r="G41" s="56" t="n"/>
      <c r="H41" s="57" t="n"/>
      <c r="I41" s="58">
        <f>IF(('Score sheet'!I9/'Calculations sheet'!$H$12-'Score sheet'!I8/'Calculations sheet'!$H$12)&lt;0, 1+10*ABS('Score sheet'!I9/'Calculations sheet'!$H$12-'Score sheet'!I8/'Calculations sheet'!$H$12), 1)</f>
        <v/>
      </c>
      <c r="J41" s="56" t="n"/>
      <c r="K41" s="57" t="n"/>
      <c r="L41" s="58">
        <f>IF(('Score sheet'!K9/'Calculations sheet'!$K$11-'Score sheet'!K8/'Calculations sheet'!$K$11)&lt;0, 1+10*ABS('Score sheet'!K9/'Calculations sheet'!$K$11-'Score sheet'!K8/'Calculations sheet'!$K$11), 1)</f>
        <v/>
      </c>
      <c r="M41" s="56" t="n"/>
      <c r="N41" s="57" t="n"/>
      <c r="O41" s="58">
        <f>IF(('Score sheet'!M9/'Calculations sheet'!$N$6-'Score sheet'!M8/'Calculations sheet'!$N$6)&lt;0, 1+10*ABS('Score sheet'!M9/'Calculations sheet'!$N$6-'Score sheet'!M8/'Calculations sheet'!$N$6), 1)</f>
        <v/>
      </c>
      <c r="P41" s="56" t="n"/>
      <c r="Q41" s="57" t="n"/>
      <c r="R41" s="58">
        <f>IF(('Score sheet'!O9/'Calculations sheet'!$Q$9-'Score sheet'!O8/'Calculations sheet'!$Q$9)&lt;0, 1+10*ABS('Score sheet'!O9/'Calculations sheet'!$Q$9-'Score sheet'!O8/'Calculations sheet'!$Q$9), 1)</f>
        <v/>
      </c>
      <c r="U41">
        <f>IF(('Score sheet'!Q9/'Calculations sheet'!$T$11-'Score sheet'!Q8/'Calculations sheet'!$T$11)&lt;0, 1+10*ABS('Score sheet'!Q9/'Calculations sheet'!$T$11-'Score sheet'!Q8/'Calculations sheet'!$T$11), 1)</f>
        <v/>
      </c>
      <c r="X41">
        <f>IF(('Score sheet'!S9/'Calculations sheet'!$W$13-'Score sheet'!S8/'Calculations sheet'!$W$13)&lt;0, 1+10*ABS('Score sheet'!S9/'Calculations sheet'!$W$13-'Score sheet'!S8/'Calculations sheet'!$W$13), 1)</f>
        <v/>
      </c>
    </row>
    <row r="42" hidden="1">
      <c r="A42" s="56" t="n"/>
      <c r="B42" s="57" t="n"/>
      <c r="C42" s="58">
        <f>IF(('Score sheet'!E10/'Calculations sheet'!$B$10-'Score sheet'!E9/'Calculations sheet'!$B$10)&lt;0, 1+10*ABS('Score sheet'!E10/'Calculations sheet'!$B$10-'Score sheet'!E9/'Calculations sheet'!$B$10), 1)</f>
        <v/>
      </c>
      <c r="D42" s="56" t="n"/>
      <c r="E42" s="57" t="n"/>
      <c r="F42" s="58">
        <f>IF(('Score sheet'!G10/'Calculations sheet'!$E$6-'Score sheet'!G9/'Calculations sheet'!$E$6)&lt;0, 1+10*ABS('Score sheet'!G10/'Calculations sheet'!$E$6-'Score sheet'!G9/'Calculations sheet'!$E$6), 1)</f>
        <v/>
      </c>
      <c r="G42" s="56" t="n"/>
      <c r="H42" s="57" t="n"/>
      <c r="I42" s="58">
        <f>IF(('Score sheet'!I10/'Calculations sheet'!$H$12-'Score sheet'!I9/'Calculations sheet'!$H$12)&lt;0, 1+10*ABS('Score sheet'!I10/'Calculations sheet'!$H$12-'Score sheet'!I9/'Calculations sheet'!$H$12), 1)</f>
        <v/>
      </c>
      <c r="J42" s="56" t="n"/>
      <c r="K42" s="57" t="n"/>
      <c r="L42" s="58">
        <f>IF(('Score sheet'!K10/'Calculations sheet'!$K$11-'Score sheet'!K9/'Calculations sheet'!$K$11)&lt;0, 1+10*ABS('Score sheet'!K10/'Calculations sheet'!$K$11-'Score sheet'!K9/'Calculations sheet'!$K$11), 1)</f>
        <v/>
      </c>
      <c r="M42" s="56" t="n"/>
      <c r="N42" s="57" t="n"/>
      <c r="O42" s="58">
        <f>IF(('Score sheet'!M10/'Calculations sheet'!$N$6-'Score sheet'!M9/'Calculations sheet'!$N$6)&lt;0, 1+10*ABS('Score sheet'!M10/'Calculations sheet'!$N$6-'Score sheet'!M9/'Calculations sheet'!$N$6), 1)</f>
        <v/>
      </c>
      <c r="P42" s="56" t="n"/>
      <c r="Q42" s="57" t="n"/>
      <c r="R42" s="58">
        <f>IF(('Score sheet'!O10/'Calculations sheet'!$Q$9-'Score sheet'!O9/'Calculations sheet'!$Q$9)&lt;0, 1+10*ABS('Score sheet'!O10/'Calculations sheet'!$Q$9-'Score sheet'!O9/'Calculations sheet'!$Q$9), 1)</f>
        <v/>
      </c>
      <c r="U42">
        <f>IF(('Score sheet'!Q10/'Calculations sheet'!$T$11-'Score sheet'!Q9/'Calculations sheet'!$T$11)&lt;0, 1+10*ABS('Score sheet'!Q10/'Calculations sheet'!$T$11-'Score sheet'!Q9/'Calculations sheet'!$T$11), 1)</f>
        <v/>
      </c>
      <c r="X42">
        <f>IF(('Score sheet'!S10/'Calculations sheet'!$W$13-'Score sheet'!S9/'Calculations sheet'!$W$13)&lt;0, 1+10*ABS('Score sheet'!S10/'Calculations sheet'!$W$13-'Score sheet'!S9/'Calculations sheet'!$W$13), 1)</f>
        <v/>
      </c>
    </row>
    <row r="43" hidden="1">
      <c r="A43" s="56" t="n"/>
      <c r="B43" s="57" t="n"/>
      <c r="C43" s="58">
        <f>IF(('Score sheet'!E11/'Calculations sheet'!$B$10-'Score sheet'!E10/'Calculations sheet'!$B$10)&lt;0, 1+10*ABS('Score sheet'!E11/'Calculations sheet'!$B$10-'Score sheet'!E10/'Calculations sheet'!$B$10), 1)</f>
        <v/>
      </c>
      <c r="D43" s="56" t="n"/>
      <c r="E43" s="57" t="n"/>
      <c r="F43" s="58" t="n"/>
      <c r="G43" s="56" t="n"/>
      <c r="H43" s="57" t="n"/>
      <c r="I43" s="58">
        <f>IF(('Score sheet'!I11/'Calculations sheet'!$H$12-'Score sheet'!I10/'Calculations sheet'!$H$12)&lt;0, 1+10*ABS('Score sheet'!I11/'Calculations sheet'!$H$12-'Score sheet'!I10/'Calculations sheet'!$H$12), 1)</f>
        <v/>
      </c>
      <c r="J43" s="56" t="n"/>
      <c r="K43" s="57" t="n"/>
      <c r="L43" s="58">
        <f>IF(('Score sheet'!K11/'Calculations sheet'!$K$11-'Score sheet'!K10/'Calculations sheet'!$K$11)&lt;0, 1+10*ABS('Score sheet'!K11/'Calculations sheet'!$K$11-'Score sheet'!K10/'Calculations sheet'!$K$11), 1)</f>
        <v/>
      </c>
      <c r="M43" s="56" t="n"/>
      <c r="N43" s="57" t="n"/>
      <c r="O43" s="58" t="n"/>
      <c r="P43" s="56" t="n"/>
      <c r="Q43" s="57" t="n"/>
      <c r="R43" s="58">
        <f>IF(('Score sheet'!O11/'Calculations sheet'!$Q$9-'Score sheet'!O10/'Calculations sheet'!$Q$9)&lt;0, 1+10*ABS('Score sheet'!O11/'Calculations sheet'!$Q$9-'Score sheet'!O10/'Calculations sheet'!$Q$9), 1)</f>
        <v/>
      </c>
      <c r="U43">
        <f>IF(('Score sheet'!Q11/'Calculations sheet'!$T$11-'Score sheet'!Q10/'Calculations sheet'!$T$11)&lt;0, 1+10*ABS('Score sheet'!Q11/'Calculations sheet'!$T$11-'Score sheet'!Q10/'Calculations sheet'!$T$11), 1)</f>
        <v/>
      </c>
      <c r="X43">
        <f>IF(('Score sheet'!S11/'Calculations sheet'!$W$13-'Score sheet'!S10/'Calculations sheet'!$W$13)&lt;0, 1+10*ABS('Score sheet'!S11/'Calculations sheet'!$W$13-'Score sheet'!S10/'Calculations sheet'!$W$13), 1)</f>
        <v/>
      </c>
    </row>
    <row r="44" hidden="1">
      <c r="A44" s="56" t="n"/>
      <c r="B44" s="57" t="n"/>
      <c r="C44" s="58">
        <f>IF(('Score sheet'!E12/'Calculations sheet'!$B$10-'Score sheet'!E11/'Calculations sheet'!$B$10)&lt;0, 1+10*ABS('Score sheet'!E12/'Calculations sheet'!$B$10-'Score sheet'!E11/'Calculations sheet'!$B$10), 1)</f>
        <v/>
      </c>
      <c r="D44" s="56" t="n"/>
      <c r="E44" s="57" t="n"/>
      <c r="F44" s="58" t="n"/>
      <c r="G44" s="56" t="n"/>
      <c r="H44" s="57" t="n"/>
      <c r="I44" s="58">
        <f>IF(('Score sheet'!I12/'Calculations sheet'!$H$12-'Score sheet'!I11/'Calculations sheet'!$H$12)&lt;0, 1+10*ABS('Score sheet'!I12/'Calculations sheet'!$H$12-'Score sheet'!I11/'Calculations sheet'!$H$12), 1)</f>
        <v/>
      </c>
      <c r="J44" s="56" t="n"/>
      <c r="K44" s="57" t="n"/>
      <c r="L44" s="58">
        <f>IF(('Score sheet'!K12/'Calculations sheet'!$K$11-'Score sheet'!K11/'Calculations sheet'!$K$11)&lt;0, 1+10*ABS('Score sheet'!K12/'Calculations sheet'!$K$11-'Score sheet'!K11/'Calculations sheet'!$K$11), 1)</f>
        <v/>
      </c>
      <c r="M44" s="56" t="n"/>
      <c r="N44" s="57" t="n"/>
      <c r="O44" s="58" t="n"/>
      <c r="P44" s="56" t="n"/>
      <c r="Q44" s="57" t="n"/>
      <c r="R44" s="58">
        <f>IF(('Score sheet'!O12/'Calculations sheet'!$Q$9-'Score sheet'!O11/'Calculations sheet'!$Q$9)&lt;0, 1+10*ABS('Score sheet'!O12/'Calculations sheet'!$Q$9-'Score sheet'!O11/'Calculations sheet'!$Q$9), 1)</f>
        <v/>
      </c>
      <c r="U44">
        <f>IF(('Score sheet'!Q12/'Calculations sheet'!$T$11-'Score sheet'!Q11/'Calculations sheet'!$T$11)&lt;0, 1+10*ABS('Score sheet'!Q12/'Calculations sheet'!$T$11-'Score sheet'!Q11/'Calculations sheet'!$T$11), 1)</f>
        <v/>
      </c>
      <c r="X44">
        <f>IF(('Score sheet'!S12/'Calculations sheet'!$W$13-'Score sheet'!S11/'Calculations sheet'!$W$13)&lt;0, 1+10*ABS('Score sheet'!S12/'Calculations sheet'!$W$13-'Score sheet'!S11/'Calculations sheet'!$W$13), 1)</f>
        <v/>
      </c>
    </row>
    <row r="45" hidden="1">
      <c r="A45" s="56" t="n"/>
      <c r="B45" s="57" t="n"/>
      <c r="C45" s="58">
        <f>IF(('Score sheet'!E13/'Calculations sheet'!$B$10-'Score sheet'!E12/'Calculations sheet'!$B$10)&lt;0, 1+10*ABS('Score sheet'!E13/'Calculations sheet'!$B$10-'Score sheet'!E12/'Calculations sheet'!$B$10), 1)</f>
        <v/>
      </c>
      <c r="D45" s="56" t="n"/>
      <c r="E45" s="57" t="n"/>
      <c r="F45" s="58" t="n"/>
      <c r="G45" s="56" t="n"/>
      <c r="H45" s="57" t="n"/>
      <c r="I45" s="58">
        <f>IF(('Score sheet'!I13/'Calculations sheet'!$H$12-'Score sheet'!I12/'Calculations sheet'!$H$12)&lt;0, 1+10*ABS('Score sheet'!I13/'Calculations sheet'!$H$12-'Score sheet'!I12/'Calculations sheet'!$H$12), 1)</f>
        <v/>
      </c>
      <c r="J45" s="56" t="n"/>
      <c r="K45" s="57" t="n"/>
      <c r="L45" s="58">
        <f>IF(('Score sheet'!K13/'Calculations sheet'!$K$11-'Score sheet'!K12/'Calculations sheet'!$K$11)&lt;0, 1+10*ABS('Score sheet'!K13/'Calculations sheet'!$K$11-'Score sheet'!K12/'Calculations sheet'!$K$11), 1)</f>
        <v/>
      </c>
      <c r="M45" s="56" t="n"/>
      <c r="N45" s="57" t="n"/>
      <c r="O45" s="58" t="n"/>
      <c r="P45" s="56" t="n"/>
      <c r="Q45" s="57" t="n"/>
      <c r="R45" s="58">
        <f>IF(('Score sheet'!O13/'Calculations sheet'!$Q$9-'Score sheet'!O12/'Calculations sheet'!$Q$9)&lt;0, 1+10*ABS('Score sheet'!O13/'Calculations sheet'!$Q$9-'Score sheet'!O12/'Calculations sheet'!$Q$9), 1)</f>
        <v/>
      </c>
      <c r="U45">
        <f>IF(('Score sheet'!Q13/'Calculations sheet'!$T$11-'Score sheet'!Q12/'Calculations sheet'!$T$11)&lt;0, 1+10*ABS('Score sheet'!Q13/'Calculations sheet'!$T$11-'Score sheet'!Q12/'Calculations sheet'!$T$11), 1)</f>
        <v/>
      </c>
      <c r="X45">
        <f>IF(('Score sheet'!S13/'Calculations sheet'!$W$13-'Score sheet'!S12/'Calculations sheet'!$W$13)&lt;0, 1+10*ABS('Score sheet'!S13/'Calculations sheet'!$W$13-'Score sheet'!S12/'Calculations sheet'!$W$13), 1)</f>
        <v/>
      </c>
    </row>
    <row r="46" hidden="1">
      <c r="A46" s="56" t="n"/>
      <c r="B46" s="57" t="n"/>
      <c r="C46" s="58">
        <f>IF(('Score sheet'!E14/'Calculations sheet'!$B$10-'Score sheet'!E13/'Calculations sheet'!$B$10)&lt;0, 1+10*ABS('Score sheet'!E14/'Calculations sheet'!$B$10-'Score sheet'!E13/'Calculations sheet'!$B$10), 1)</f>
        <v/>
      </c>
      <c r="D46" s="56" t="n"/>
      <c r="E46" s="57" t="n"/>
      <c r="F46" s="58" t="n"/>
      <c r="G46" s="56" t="n"/>
      <c r="H46" s="57" t="n"/>
      <c r="I46" s="58">
        <f>IF(('Score sheet'!I14/'Calculations sheet'!$H$12-'Score sheet'!I13/'Calculations sheet'!$H$12)&lt;0, 1+10*ABS('Score sheet'!I14/'Calculations sheet'!$H$12-'Score sheet'!I13/'Calculations sheet'!$H$12), 1)</f>
        <v/>
      </c>
      <c r="J46" s="56" t="n"/>
      <c r="K46" s="57" t="n"/>
      <c r="L46" s="58">
        <f>IF(('Score sheet'!K14/'Calculations sheet'!$K$11-'Score sheet'!K13/'Calculations sheet'!$K$11)&lt;0, 1+10*ABS('Score sheet'!K14/'Calculations sheet'!$K$11-'Score sheet'!K13/'Calculations sheet'!$K$11), 1)</f>
        <v/>
      </c>
      <c r="M46" s="56" t="n"/>
      <c r="N46" s="57" t="n"/>
      <c r="O46" s="58" t="n"/>
      <c r="P46" s="56" t="n"/>
      <c r="Q46" s="57" t="n"/>
      <c r="R46" s="58" t="n"/>
      <c r="U46">
        <f>IF(('Score sheet'!Q14/'Calculations sheet'!$T$11-'Score sheet'!Q13/'Calculations sheet'!$T$11)&lt;0, 1+10*ABS('Score sheet'!Q14/'Calculations sheet'!$T$11-'Score sheet'!Q13/'Calculations sheet'!$T$11), 1)</f>
        <v/>
      </c>
      <c r="X46">
        <f>IF(('Score sheet'!S14/'Calculations sheet'!$W$13-'Score sheet'!S13/'Calculations sheet'!$W$13)&lt;0, 1+10*ABS('Score sheet'!S14/'Calculations sheet'!$W$13-'Score sheet'!S13/'Calculations sheet'!$W$13), 1)</f>
        <v/>
      </c>
    </row>
    <row r="47" hidden="1">
      <c r="A47" s="56" t="n"/>
      <c r="B47" s="57" t="n"/>
      <c r="C47" s="58" t="n"/>
      <c r="D47" s="56" t="n"/>
      <c r="E47" s="57" t="n"/>
      <c r="F47" s="58" t="n"/>
      <c r="G47" s="56" t="n"/>
      <c r="H47" s="57" t="n"/>
      <c r="I47" s="58">
        <f>IF(('Score sheet'!I15/'Calculations sheet'!$H$12-'Score sheet'!I14/'Calculations sheet'!$H$12)&lt;0, 1+10*ABS('Score sheet'!I15/'Calculations sheet'!$H$12-'Score sheet'!I14/'Calculations sheet'!$H$12), 1)</f>
        <v/>
      </c>
      <c r="J47" s="56" t="n"/>
      <c r="K47" s="57" t="n"/>
      <c r="L47" s="58">
        <f>IF(('Score sheet'!K15/'Calculations sheet'!$K$11-'Score sheet'!K14/'Calculations sheet'!$K$11)&lt;0, 1+10*ABS('Score sheet'!K15/'Calculations sheet'!$K$11-'Score sheet'!K14/'Calculations sheet'!$K$11), 1)</f>
        <v/>
      </c>
      <c r="M47" s="56" t="n"/>
      <c r="N47" s="57" t="n"/>
      <c r="O47" s="58" t="n"/>
      <c r="P47" s="56" t="n"/>
      <c r="Q47" s="57" t="n"/>
      <c r="R47" s="58" t="n"/>
      <c r="U47">
        <f>IF(('Score sheet'!Q15/'Calculations sheet'!$T$11-'Score sheet'!Q14/'Calculations sheet'!$T$11)&lt;0, 1+10*ABS('Score sheet'!Q15/'Calculations sheet'!$T$11-'Score sheet'!Q14/'Calculations sheet'!$T$11), 1)</f>
        <v/>
      </c>
      <c r="X47">
        <f>IF(('Score sheet'!S15/'Calculations sheet'!$W$13-'Score sheet'!S14/'Calculations sheet'!$W$13)&lt;0, 1+10*ABS('Score sheet'!S15/'Calculations sheet'!$W$13-'Score sheet'!S14/'Calculations sheet'!$W$13), 1)</f>
        <v/>
      </c>
    </row>
    <row r="48" hidden="1">
      <c r="A48" s="56" t="n"/>
      <c r="B48" s="57" t="n"/>
      <c r="C48" s="58" t="n"/>
      <c r="D48" s="56" t="n"/>
      <c r="E48" s="57" t="n"/>
      <c r="F48" s="58" t="n"/>
      <c r="G48" s="56" t="n"/>
      <c r="H48" s="57" t="n"/>
      <c r="I48" s="58">
        <f>IF(('Score sheet'!I16/'Calculations sheet'!$H$12-'Score sheet'!I15/'Calculations sheet'!$H$12)&lt;0, 1+10*ABS('Score sheet'!I16/'Calculations sheet'!$H$12-'Score sheet'!I15/'Calculations sheet'!$H$12), 1)</f>
        <v/>
      </c>
      <c r="J48" s="56" t="n"/>
      <c r="K48" s="57" t="n"/>
      <c r="L48" s="58" t="n"/>
      <c r="M48" s="56" t="n"/>
      <c r="N48" s="57" t="n"/>
      <c r="O48" s="58" t="n"/>
      <c r="P48" s="56" t="n"/>
      <c r="Q48" s="57" t="n"/>
      <c r="R48" s="58" t="n"/>
      <c r="X48">
        <f>IF(('Score sheet'!S16/'Calculations sheet'!$W$13-'Score sheet'!S15/'Calculations sheet'!$W$13)&lt;0, 1+10*ABS('Score sheet'!S16/'Calculations sheet'!$W$13-'Score sheet'!S15/'Calculations sheet'!$W$13), 1)</f>
        <v/>
      </c>
    </row>
    <row r="49" hidden="1">
      <c r="A49" s="56" t="n"/>
      <c r="B49" s="57" t="n"/>
      <c r="C49" s="58" t="n"/>
      <c r="D49" s="56" t="n"/>
      <c r="E49" s="57" t="n"/>
      <c r="F49" s="58" t="n"/>
      <c r="G49" s="56" t="n"/>
      <c r="H49" s="57" t="n"/>
      <c r="I49" s="58" t="n"/>
      <c r="J49" s="56" t="n"/>
      <c r="K49" s="57" t="n"/>
      <c r="L49" s="58" t="n"/>
      <c r="M49" s="56" t="n"/>
      <c r="N49" s="57" t="n"/>
      <c r="O49" s="58" t="n"/>
      <c r="P49" s="56" t="n"/>
      <c r="Q49" s="57" t="n"/>
      <c r="R49" s="58" t="n"/>
      <c r="X49">
        <f>IF(('Score sheet'!S17/'Calculations sheet'!$W$13-'Score sheet'!S16/'Calculations sheet'!$W$13)&lt;0, 1+10*ABS('Score sheet'!S17/'Calculations sheet'!$W$13-'Score sheet'!S16/'Calculations sheet'!$W$13), 1)</f>
        <v/>
      </c>
    </row>
    <row r="50" hidden="1" ht="20" customHeight="1" thickBot="1">
      <c r="A50" s="59" t="n"/>
      <c r="B50" s="60" t="n"/>
      <c r="C50" s="61" t="n"/>
      <c r="D50" s="59" t="n"/>
      <c r="E50" s="60" t="n"/>
      <c r="F50" s="61" t="n"/>
      <c r="G50" s="59" t="n"/>
      <c r="H50" s="60" t="n"/>
      <c r="I50" s="61" t="n"/>
      <c r="J50" s="59" t="n"/>
      <c r="K50" s="60" t="n"/>
      <c r="L50" s="61" t="n"/>
      <c r="M50" s="59" t="n"/>
      <c r="N50" s="60" t="n"/>
      <c r="O50" s="61" t="n"/>
      <c r="P50" s="59" t="n"/>
      <c r="Q50" s="60" t="n"/>
      <c r="R50" s="61" t="n"/>
    </row>
    <row r="51" ht="20" customHeight="1" thickBot="1">
      <c r="A51" s="96" t="n"/>
    </row>
    <row r="52" hidden="1">
      <c r="A52" s="56" t="n"/>
      <c r="B52" s="57" t="n"/>
      <c r="C52" s="58">
        <f>C40*C28*C16</f>
        <v/>
      </c>
      <c r="D52" s="56" t="n"/>
      <c r="E52" s="57" t="n"/>
      <c r="F52" s="58">
        <f>F40*F28*F16</f>
        <v/>
      </c>
      <c r="G52" s="56" t="n"/>
      <c r="H52" s="57" t="n"/>
      <c r="I52" s="58">
        <f>I40*I28*I16</f>
        <v/>
      </c>
      <c r="J52" s="56" t="n"/>
      <c r="K52" s="33" t="n"/>
      <c r="L52" s="58">
        <f>L40*L28*L16</f>
        <v/>
      </c>
      <c r="M52" s="56" t="n"/>
      <c r="N52" s="57" t="n"/>
      <c r="O52" s="58">
        <f>O40*O28*O16</f>
        <v/>
      </c>
      <c r="P52" s="56" t="n"/>
      <c r="Q52" s="33" t="n"/>
      <c r="R52" s="58">
        <f>R40*R28*R16</f>
        <v/>
      </c>
      <c r="U52">
        <f>U40*U28*U16</f>
        <v/>
      </c>
      <c r="X52">
        <f>X40*X28*X16</f>
        <v/>
      </c>
    </row>
    <row r="53" hidden="1">
      <c r="A53" s="56" t="n"/>
      <c r="B53" s="57" t="n"/>
      <c r="C53" s="58">
        <f>C41*C29*C17</f>
        <v/>
      </c>
      <c r="D53" s="56" t="n"/>
      <c r="E53" s="57" t="n"/>
      <c r="F53" s="58">
        <f>F41*F29*F17</f>
        <v/>
      </c>
      <c r="G53" s="56" t="n"/>
      <c r="H53" s="57" t="n"/>
      <c r="I53" s="58">
        <f>I41*I29*I17</f>
        <v/>
      </c>
      <c r="J53" s="56" t="n"/>
      <c r="K53" s="33" t="n"/>
      <c r="L53" s="58">
        <f>L41*L29*L17</f>
        <v/>
      </c>
      <c r="M53" s="56" t="n"/>
      <c r="N53" s="57" t="n"/>
      <c r="O53" s="58">
        <f>O41*O29*O17</f>
        <v/>
      </c>
      <c r="P53" s="56" t="n"/>
      <c r="Q53" s="33" t="n"/>
      <c r="R53" s="58">
        <f>R41*R29*R17</f>
        <v/>
      </c>
      <c r="U53">
        <f>U41*U29*U17</f>
        <v/>
      </c>
      <c r="X53">
        <f>X41*X29*X17</f>
        <v/>
      </c>
    </row>
    <row r="54" hidden="1">
      <c r="A54" s="56" t="n"/>
      <c r="B54" s="57" t="n"/>
      <c r="C54" s="58">
        <f>C42*C30*C18</f>
        <v/>
      </c>
      <c r="D54" s="56" t="n"/>
      <c r="E54" s="57" t="n"/>
      <c r="F54" s="58">
        <f>F42*F30*F18</f>
        <v/>
      </c>
      <c r="G54" s="56" t="n"/>
      <c r="H54" s="57" t="n"/>
      <c r="I54" s="58">
        <f>I42*I30*I18</f>
        <v/>
      </c>
      <c r="J54" s="56" t="n"/>
      <c r="K54" s="33" t="n"/>
      <c r="L54" s="58">
        <f>L42*L30*L18</f>
        <v/>
      </c>
      <c r="M54" s="56" t="n"/>
      <c r="N54" s="57" t="n"/>
      <c r="O54" s="58">
        <f>O42*O30*O18</f>
        <v/>
      </c>
      <c r="P54" s="56" t="n"/>
      <c r="Q54" s="33" t="n"/>
      <c r="R54" s="58">
        <f>R42*R30*R18</f>
        <v/>
      </c>
      <c r="U54">
        <f>U42*U30*U18</f>
        <v/>
      </c>
      <c r="X54">
        <f>X42*X30*X18</f>
        <v/>
      </c>
    </row>
    <row r="55" hidden="1">
      <c r="A55" s="56" t="n"/>
      <c r="B55" s="57" t="n"/>
      <c r="C55" s="58">
        <f>C43*C31*C19</f>
        <v/>
      </c>
      <c r="D55" s="56" t="n"/>
      <c r="E55" s="57" t="n"/>
      <c r="F55" s="58" t="n"/>
      <c r="G55" s="56" t="n"/>
      <c r="H55" s="57" t="n"/>
      <c r="I55" s="58">
        <f>I43*I31*I19</f>
        <v/>
      </c>
      <c r="J55" s="56" t="n"/>
      <c r="K55" s="33" t="n"/>
      <c r="L55" s="58">
        <f>L43*L31*L19</f>
        <v/>
      </c>
      <c r="M55" s="56" t="n"/>
      <c r="N55" s="57" t="n"/>
      <c r="O55" s="58" t="n"/>
      <c r="P55" s="56" t="n"/>
      <c r="Q55" s="33" t="n"/>
      <c r="R55" s="58">
        <f>R43*R31*R19</f>
        <v/>
      </c>
      <c r="U55">
        <f>U43*U31*U19</f>
        <v/>
      </c>
      <c r="X55">
        <f>X43*X31*X19</f>
        <v/>
      </c>
    </row>
    <row r="56" hidden="1">
      <c r="A56" s="56" t="n"/>
      <c r="B56" s="57" t="n"/>
      <c r="C56" s="58">
        <f>C44*C32*C20</f>
        <v/>
      </c>
      <c r="D56" s="56" t="n"/>
      <c r="E56" s="57" t="n"/>
      <c r="F56" s="58" t="n"/>
      <c r="G56" s="56" t="n"/>
      <c r="H56" s="57" t="n"/>
      <c r="I56" s="58">
        <f>I44*I32*I20</f>
        <v/>
      </c>
      <c r="J56" s="56" t="n"/>
      <c r="K56" s="33" t="n"/>
      <c r="L56" s="58">
        <f>L44*L32*L20</f>
        <v/>
      </c>
      <c r="M56" s="56" t="n"/>
      <c r="N56" s="57" t="n"/>
      <c r="O56" s="58" t="n"/>
      <c r="P56" s="56" t="n"/>
      <c r="Q56" s="33" t="n"/>
      <c r="R56" s="58">
        <f>R44*R32*R20</f>
        <v/>
      </c>
      <c r="U56">
        <f>U44*U32*U20</f>
        <v/>
      </c>
      <c r="X56">
        <f>X44*X32*X20</f>
        <v/>
      </c>
    </row>
    <row r="57" hidden="1">
      <c r="A57" s="56" t="n"/>
      <c r="B57" s="57" t="n"/>
      <c r="C57" s="58">
        <f>C45*C33*C21</f>
        <v/>
      </c>
      <c r="D57" s="56" t="n"/>
      <c r="E57" s="57" t="n"/>
      <c r="F57" s="58" t="n"/>
      <c r="G57" s="56" t="n"/>
      <c r="H57" s="57" t="n"/>
      <c r="I57" s="58">
        <f>I45*I33*I21</f>
        <v/>
      </c>
      <c r="J57" s="56" t="n"/>
      <c r="K57" s="33" t="n"/>
      <c r="L57" s="58">
        <f>L45*L33*L21</f>
        <v/>
      </c>
      <c r="M57" s="56" t="n"/>
      <c r="N57" s="57" t="n"/>
      <c r="O57" s="58" t="n"/>
      <c r="P57" s="56" t="n"/>
      <c r="Q57" s="33" t="n"/>
      <c r="R57" s="58">
        <f>R45*R33*R21</f>
        <v/>
      </c>
      <c r="U57">
        <f>U45*U33*U21</f>
        <v/>
      </c>
      <c r="X57">
        <f>X45*X33*X21</f>
        <v/>
      </c>
    </row>
    <row r="58" hidden="1">
      <c r="A58" s="56" t="n"/>
      <c r="B58" s="57" t="n"/>
      <c r="C58" s="58">
        <f>C46*C34*C22</f>
        <v/>
      </c>
      <c r="D58" s="56" t="n"/>
      <c r="E58" s="57" t="n"/>
      <c r="F58" s="58" t="n"/>
      <c r="G58" s="56" t="n"/>
      <c r="H58" s="57" t="n"/>
      <c r="I58" s="58">
        <f>I46*I34*I22</f>
        <v/>
      </c>
      <c r="J58" s="56" t="n"/>
      <c r="K58" s="33" t="n"/>
      <c r="L58" s="58">
        <f>L46*L34*L22</f>
        <v/>
      </c>
      <c r="M58" s="56" t="n"/>
      <c r="N58" s="57" t="n"/>
      <c r="O58" s="58" t="n"/>
      <c r="P58" s="56" t="n"/>
      <c r="Q58" s="33" t="n"/>
      <c r="R58" s="58" t="n"/>
      <c r="U58">
        <f>U46*U34*U22</f>
        <v/>
      </c>
      <c r="X58">
        <f>X46*X34*X22</f>
        <v/>
      </c>
    </row>
    <row r="59" hidden="1">
      <c r="A59" s="56" t="n"/>
      <c r="B59" s="57" t="n"/>
      <c r="C59" s="58" t="n"/>
      <c r="D59" s="56" t="n"/>
      <c r="E59" s="57" t="n"/>
      <c r="F59" s="58" t="n"/>
      <c r="G59" s="56" t="n"/>
      <c r="H59" s="57" t="n"/>
      <c r="I59" s="58">
        <f>I47*I35*I23</f>
        <v/>
      </c>
      <c r="J59" s="56" t="n"/>
      <c r="K59" s="33" t="n"/>
      <c r="L59" s="58">
        <f>L47*L35*L23</f>
        <v/>
      </c>
      <c r="M59" s="56" t="n"/>
      <c r="N59" s="57" t="n"/>
      <c r="O59" s="58" t="n"/>
      <c r="P59" s="56" t="n"/>
      <c r="Q59" s="33" t="n"/>
      <c r="R59" s="58" t="n"/>
      <c r="U59">
        <f>U47*U35*U23</f>
        <v/>
      </c>
      <c r="X59">
        <f>X47*X35*X23</f>
        <v/>
      </c>
    </row>
    <row r="60" hidden="1">
      <c r="A60" s="56" t="n"/>
      <c r="B60" s="57" t="n"/>
      <c r="C60" s="58" t="n"/>
      <c r="D60" s="56" t="n"/>
      <c r="E60" s="57" t="n"/>
      <c r="F60" s="58" t="n"/>
      <c r="G60" s="56" t="n"/>
      <c r="H60" s="57" t="n"/>
      <c r="I60" s="58">
        <f>I48*I36*I24</f>
        <v/>
      </c>
      <c r="J60" s="56" t="n"/>
      <c r="K60" s="57" t="n"/>
      <c r="L60" s="58" t="n"/>
      <c r="M60" s="56" t="n"/>
      <c r="N60" s="57" t="n"/>
      <c r="O60" s="58" t="n"/>
      <c r="P60" s="56" t="n"/>
      <c r="Q60" s="33" t="n"/>
      <c r="R60" s="58" t="n"/>
      <c r="X60">
        <f>X48*X36*X24</f>
        <v/>
      </c>
    </row>
    <row r="61" hidden="1">
      <c r="A61" s="56" t="n"/>
      <c r="B61" s="57" t="n"/>
      <c r="C61" s="58" t="n"/>
      <c r="D61" s="56" t="n"/>
      <c r="E61" s="57" t="n"/>
      <c r="F61" s="58" t="n"/>
      <c r="G61" s="56" t="n"/>
      <c r="H61" s="57" t="n"/>
      <c r="I61" s="58" t="n"/>
      <c r="J61" s="56" t="n"/>
      <c r="K61" s="57" t="n"/>
      <c r="L61" s="58" t="n"/>
      <c r="M61" s="56" t="n"/>
      <c r="N61" s="57" t="n"/>
      <c r="O61" s="58" t="n"/>
      <c r="P61" s="56" t="n"/>
      <c r="Q61" s="33" t="n"/>
      <c r="R61" s="58" t="n"/>
      <c r="X61">
        <f>X49*X37*X25</f>
        <v/>
      </c>
    </row>
    <row r="62" hidden="1" ht="20" customHeight="1" thickBot="1">
      <c r="A62" s="59" t="n"/>
      <c r="B62" s="60" t="n"/>
      <c r="C62" s="61" t="n"/>
      <c r="D62" s="59" t="n"/>
      <c r="E62" s="60" t="n"/>
      <c r="F62" s="61" t="n"/>
      <c r="G62" s="59" t="n"/>
      <c r="H62" s="60" t="n"/>
      <c r="I62" s="61" t="n"/>
      <c r="J62" s="59" t="n"/>
      <c r="K62" s="60" t="n"/>
      <c r="L62" s="61" t="n"/>
      <c r="M62" s="59" t="n"/>
      <c r="N62" s="60" t="n"/>
      <c r="O62" s="61" t="n"/>
      <c r="P62" s="59" t="n"/>
      <c r="Q62" s="41" t="n"/>
      <c r="R62" s="61" t="n"/>
    </row>
    <row r="63" ht="20" customHeight="1" thickBot="1">
      <c r="A63" s="97" t="n"/>
      <c r="C63">
        <f>SUM(C52:C58)</f>
        <v/>
      </c>
      <c r="D63" s="97" t="n"/>
      <c r="F63">
        <f>SUM(F52:F54)</f>
        <v/>
      </c>
      <c r="G63" s="97" t="n"/>
      <c r="I63">
        <f>SUM(I52:I60)</f>
        <v/>
      </c>
      <c r="J63" s="97" t="n"/>
      <c r="L63">
        <f>SUM(L52:L59)</f>
        <v/>
      </c>
      <c r="M63" s="97" t="n"/>
      <c r="O63">
        <f>SUM(O52:O54)</f>
        <v/>
      </c>
      <c r="P63" s="97" t="n"/>
      <c r="R63">
        <f>SUM(R52:R57)</f>
        <v/>
      </c>
      <c r="U63">
        <f>SUM(U52:U59)</f>
        <v/>
      </c>
      <c r="X63">
        <f>SUM(X52:X61)</f>
        <v/>
      </c>
    </row>
  </sheetData>
  <sheetProtection selectLockedCells="1" selectUnlockedCells="1" algorithmName="SHA-512" sheet="1" objects="1" insertRows="1" insertHyperlinks="1" autoFilter="1" scenarios="1" formatColumns="1" deleteColumns="1" insertColumns="1" pivotTables="1" deleteRows="1" formatCells="1" saltValue="f5cljImORSkuepFkJqxFow==" formatRows="1" sort="1" spinCount="100000" hashValue="oqZi8SYKnT2FBIsJ+1jyUpQi9+JsNzoTCAW9uykn/D7TvKD96BtfcSQbelGPC6LvJReemztWf8u8wFTupubJ/g==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yml</dc:creator>
  <dcterms:created xmlns:dcterms="http://purl.org/dc/terms/" xmlns:xsi="http://www.w3.org/2001/XMLSchema-instance" xsi:type="dcterms:W3CDTF">2019-01-14T19:29:31Z</dcterms:created>
  <dcterms:modified xmlns:dcterms="http://purl.org/dc/terms/" xmlns:xsi="http://www.w3.org/2001/XMLSchema-instance" xsi:type="dcterms:W3CDTF">2026-07-20T02:44:25Z</dcterms:modified>
  <cp:lastModifiedBy>Matteo Corbetta</cp:lastModifiedBy>
</cp:coreProperties>
</file>